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79B00F6-7D4A-4147-B962-FD136231797D}" xr6:coauthVersionLast="47" xr6:coauthVersionMax="47" xr10:uidLastSave="{00000000-0000-0000-0000-000000000000}"/>
  <bookViews>
    <workbookView xWindow="-120" yWindow="-120" windowWidth="38640" windowHeight="21120" activeTab="2" xr2:uid="{6BA85CD4-384E-483D-9D08-0A47A40AA5E6}"/>
  </bookViews>
  <sheets>
    <sheet name="ISO 17049" sheetId="1" r:id="rId1"/>
    <sheet name="Software" sheetId="2" r:id="rId2"/>
    <sheet name="Velocidad de impresió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4" i="3"/>
  <c r="I4" i="3"/>
  <c r="D75" i="1"/>
  <c r="D74" i="1"/>
  <c r="D73" i="1"/>
  <c r="D72" i="1"/>
  <c r="D71" i="1"/>
  <c r="D70" i="1"/>
  <c r="F54" i="1"/>
  <c r="F44" i="1"/>
  <c r="F34" i="1"/>
  <c r="F24" i="1"/>
  <c r="F14" i="1"/>
  <c r="F4" i="1"/>
</calcChain>
</file>

<file path=xl/sharedStrings.xml><?xml version="1.0" encoding="utf-8"?>
<sst xmlns="http://schemas.openxmlformats.org/spreadsheetml/2006/main" count="70" uniqueCount="49">
  <si>
    <t>Parámetro</t>
  </si>
  <si>
    <t>Ensayo</t>
  </si>
  <si>
    <t>Diámetro del punto Braille</t>
  </si>
  <si>
    <t>Altura del punto</t>
  </si>
  <si>
    <t>Distancia entre puntos (Horizontal)</t>
  </si>
  <si>
    <t>Distancia entre puntos (Vertical)</t>
  </si>
  <si>
    <t>Norma ISO 17049 (mm)</t>
  </si>
  <si>
    <t>2,2 - 2,8</t>
  </si>
  <si>
    <t>5,1 - 6,8</t>
  </si>
  <si>
    <t>1,0 - 1,7</t>
  </si>
  <si>
    <t>0,3 - 0,7</t>
  </si>
  <si>
    <t>2,0 - 2,8</t>
  </si>
  <si>
    <t xml:space="preserve">Distancia entre celdas braille </t>
  </si>
  <si>
    <t>Distancia entre lineas</t>
  </si>
  <si>
    <t>10,0 - 15,0</t>
  </si>
  <si>
    <t>Medición (mm)</t>
  </si>
  <si>
    <t>Protocolo de puebas - Norma ISO 17049 (Calidad de impresión)</t>
  </si>
  <si>
    <t>Promedio de medición (mm)</t>
  </si>
  <si>
    <t>Resumen de resultados del protocolo de pruebas - Calidad de impresión</t>
  </si>
  <si>
    <t>Funcionalidad</t>
  </si>
  <si>
    <t>Resultado</t>
  </si>
  <si>
    <t>Observación técnica</t>
  </si>
  <si>
    <t>Importación de archivos (.brf, .txt, .docx)</t>
  </si>
  <si>
    <t>Cumple</t>
  </si>
  <si>
    <t>El sistema convierte automáticamente los formatos de texto a celdas Braille manteniendo estructura y saltos de línea.</t>
  </si>
  <si>
    <t>Edición directa en interfaz</t>
  </si>
  <si>
    <t>El usuario puede escribir, editar y formatear texto directamente en el entorno de trabajo.</t>
  </si>
  <si>
    <t>Navegación por teclado</t>
  </si>
  <si>
    <t>Todas las funciones principales son accesibles mediante atajos de teclado (sin necesidad de mouse).</t>
  </si>
  <si>
    <t>Cambio de idioma y grado de Braille</t>
  </si>
  <si>
    <t>Permite alternar entre Braille Grado 1 y 2, con soporte para español, inglés y otros idiomas.</t>
  </si>
  <si>
    <t>La interfaz es reconocida por software lector.</t>
  </si>
  <si>
    <t>Mensajes de audio y retroalimentación táctil</t>
  </si>
  <si>
    <t>Se incorporan sonidos durante la impresión.</t>
  </si>
  <si>
    <t>Compatibilidad con lectores de pantalla (NVDA)</t>
  </si>
  <si>
    <t>Protocolo de pruebas - Accecibilidad del software implementado según la resoulción 1519 del 2015 MINTIC</t>
  </si>
  <si>
    <t>Filas impresas</t>
  </si>
  <si>
    <t>Caracteres por fila</t>
  </si>
  <si>
    <t>Puntos por cajetin</t>
  </si>
  <si>
    <t>CPS medido</t>
  </si>
  <si>
    <t>Tiempo total (Seg)</t>
  </si>
  <si>
    <t>Letra impresa</t>
  </si>
  <si>
    <t>q</t>
  </si>
  <si>
    <t>i</t>
  </si>
  <si>
    <t>d</t>
  </si>
  <si>
    <t>Velocidad promedio (CPS)</t>
  </si>
  <si>
    <t>a</t>
  </si>
  <si>
    <t>n</t>
  </si>
  <si>
    <t>Protocolo de pruebas - Velocidad de impresión promedio en CPS ( Caracter por segundo)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</si>
</sst>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1" xfId="0" applyNumberFormat="1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/>
    <xf numFmtId="2" fontId="0" fillId="0" borderId="12" xfId="0" applyNumberFormat="1" applyBorder="1"/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/>
    <xf numFmtId="2" fontId="0" fillId="0" borderId="16" xfId="0" applyNumberFormat="1" applyBorder="1"/>
    <xf numFmtId="2" fontId="0" fillId="0" borderId="17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2" xfId="0" applyNumberFormat="1" applyBorder="1" applyAlignment="1">
      <alignment vertical="center"/>
    </xf>
    <xf numFmtId="2" fontId="0" fillId="0" borderId="16" xfId="0" applyNumberFormat="1" applyBorder="1" applyAlignment="1">
      <alignment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33EF339-7C32-4561-B04D-76252AEDD6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B3DF-7CAD-4104-A275-E6ADB31FF152}">
  <dimension ref="A1:AC99"/>
  <sheetViews>
    <sheetView workbookViewId="0">
      <selection activeCell="I41" sqref="I41"/>
    </sheetView>
  </sheetViews>
  <sheetFormatPr baseColWidth="10" defaultRowHeight="15" x14ac:dyDescent="0.25"/>
  <cols>
    <col min="1" max="1" width="11.42578125" style="61"/>
    <col min="2" max="2" width="23" customWidth="1"/>
    <col min="4" max="4" width="15" customWidth="1"/>
    <col min="5" max="5" width="13.140625" bestFit="1" customWidth="1"/>
    <col min="6" max="6" width="17.5703125" customWidth="1"/>
    <col min="7" max="10" width="11.42578125" style="61"/>
    <col min="11" max="11" width="16.42578125" style="61" customWidth="1"/>
    <col min="12" max="29" width="11.42578125" style="61"/>
  </cols>
  <sheetData>
    <row r="1" spans="2:9" s="61" customFormat="1" ht="15.75" thickBot="1" x14ac:dyDescent="0.3"/>
    <row r="2" spans="2:9" ht="42" customHeight="1" thickBot="1" x14ac:dyDescent="0.3">
      <c r="B2" s="6" t="s">
        <v>16</v>
      </c>
      <c r="C2" s="7"/>
      <c r="D2" s="7"/>
      <c r="E2" s="7"/>
      <c r="F2" s="8"/>
    </row>
    <row r="3" spans="2:9" ht="58.5" customHeight="1" thickBot="1" x14ac:dyDescent="0.3">
      <c r="B3" s="9" t="s">
        <v>0</v>
      </c>
      <c r="C3" s="9" t="s">
        <v>6</v>
      </c>
      <c r="D3" s="10" t="s">
        <v>1</v>
      </c>
      <c r="E3" s="9" t="s">
        <v>15</v>
      </c>
      <c r="F3" s="9" t="s">
        <v>17</v>
      </c>
    </row>
    <row r="4" spans="2:9" x14ac:dyDescent="0.25">
      <c r="B4" s="11" t="s">
        <v>2</v>
      </c>
      <c r="C4" s="14" t="s">
        <v>9</v>
      </c>
      <c r="D4" s="15">
        <v>1</v>
      </c>
      <c r="E4" s="16">
        <v>1.52</v>
      </c>
      <c r="F4" s="17">
        <f>AVERAGE(E4:E13)</f>
        <v>1.5129999999999999</v>
      </c>
    </row>
    <row r="5" spans="2:9" x14ac:dyDescent="0.25">
      <c r="B5" s="12"/>
      <c r="C5" s="4"/>
      <c r="D5" s="1">
        <v>2</v>
      </c>
      <c r="E5" s="2">
        <v>1.51</v>
      </c>
      <c r="F5" s="18"/>
    </row>
    <row r="6" spans="2:9" x14ac:dyDescent="0.25">
      <c r="B6" s="12"/>
      <c r="C6" s="4"/>
      <c r="D6" s="1">
        <v>3</v>
      </c>
      <c r="E6" s="2">
        <v>1.52</v>
      </c>
      <c r="F6" s="18"/>
    </row>
    <row r="7" spans="2:9" x14ac:dyDescent="0.25">
      <c r="B7" s="12"/>
      <c r="C7" s="4"/>
      <c r="D7" s="1">
        <v>4</v>
      </c>
      <c r="E7" s="2">
        <v>1.5</v>
      </c>
      <c r="F7" s="18"/>
    </row>
    <row r="8" spans="2:9" x14ac:dyDescent="0.25">
      <c r="B8" s="12"/>
      <c r="C8" s="4"/>
      <c r="D8" s="1">
        <v>5</v>
      </c>
      <c r="E8" s="2">
        <v>1.51</v>
      </c>
      <c r="F8" s="18"/>
    </row>
    <row r="9" spans="2:9" x14ac:dyDescent="0.25">
      <c r="B9" s="12"/>
      <c r="C9" s="4"/>
      <c r="D9" s="1">
        <v>6</v>
      </c>
      <c r="E9" s="2">
        <v>1.53</v>
      </c>
      <c r="F9" s="18"/>
    </row>
    <row r="10" spans="2:9" x14ac:dyDescent="0.25">
      <c r="B10" s="12"/>
      <c r="C10" s="4"/>
      <c r="D10" s="1">
        <v>7</v>
      </c>
      <c r="E10" s="2">
        <v>1.49</v>
      </c>
      <c r="F10" s="18"/>
      <c r="I10" s="62"/>
    </row>
    <row r="11" spans="2:9" x14ac:dyDescent="0.25">
      <c r="B11" s="12"/>
      <c r="C11" s="4"/>
      <c r="D11" s="1">
        <v>8</v>
      </c>
      <c r="E11" s="2">
        <v>1.5</v>
      </c>
      <c r="F11" s="18"/>
    </row>
    <row r="12" spans="2:9" x14ac:dyDescent="0.25">
      <c r="B12" s="12"/>
      <c r="C12" s="4"/>
      <c r="D12" s="1">
        <v>9</v>
      </c>
      <c r="E12" s="2">
        <v>1.52</v>
      </c>
      <c r="F12" s="18"/>
    </row>
    <row r="13" spans="2:9" ht="15.75" thickBot="1" x14ac:dyDescent="0.3">
      <c r="B13" s="13"/>
      <c r="C13" s="19"/>
      <c r="D13" s="20">
        <v>10</v>
      </c>
      <c r="E13" s="21">
        <v>1.53</v>
      </c>
      <c r="F13" s="22"/>
    </row>
    <row r="14" spans="2:9" x14ac:dyDescent="0.25">
      <c r="B14" s="11" t="s">
        <v>3</v>
      </c>
      <c r="C14" s="23" t="s">
        <v>10</v>
      </c>
      <c r="D14" s="15">
        <v>1</v>
      </c>
      <c r="E14" s="16">
        <v>0.62</v>
      </c>
      <c r="F14" s="17">
        <f>AVERAGE(E14:E23)</f>
        <v>0.6</v>
      </c>
    </row>
    <row r="15" spans="2:9" x14ac:dyDescent="0.25">
      <c r="B15" s="12"/>
      <c r="C15" s="5"/>
      <c r="D15" s="1">
        <v>2</v>
      </c>
      <c r="E15" s="2">
        <v>0.6</v>
      </c>
      <c r="F15" s="24"/>
    </row>
    <row r="16" spans="2:9" x14ac:dyDescent="0.25">
      <c r="B16" s="12"/>
      <c r="C16" s="5"/>
      <c r="D16" s="1">
        <v>3</v>
      </c>
      <c r="E16" s="2">
        <v>0.61</v>
      </c>
      <c r="F16" s="24"/>
    </row>
    <row r="17" spans="2:6" x14ac:dyDescent="0.25">
      <c r="B17" s="12"/>
      <c r="C17" s="5"/>
      <c r="D17" s="1">
        <v>4</v>
      </c>
      <c r="E17" s="2">
        <v>0.57999999999999996</v>
      </c>
      <c r="F17" s="24"/>
    </row>
    <row r="18" spans="2:6" x14ac:dyDescent="0.25">
      <c r="B18" s="12"/>
      <c r="C18" s="5"/>
      <c r="D18" s="1">
        <v>5</v>
      </c>
      <c r="E18" s="2">
        <v>0.57999999999999996</v>
      </c>
      <c r="F18" s="24"/>
    </row>
    <row r="19" spans="2:6" x14ac:dyDescent="0.25">
      <c r="B19" s="12"/>
      <c r="C19" s="5"/>
      <c r="D19" s="1">
        <v>6</v>
      </c>
      <c r="E19" s="2">
        <v>0.59</v>
      </c>
      <c r="F19" s="24"/>
    </row>
    <row r="20" spans="2:6" x14ac:dyDescent="0.25">
      <c r="B20" s="12"/>
      <c r="C20" s="5"/>
      <c r="D20" s="1">
        <v>7</v>
      </c>
      <c r="E20" s="2">
        <v>0.62</v>
      </c>
      <c r="F20" s="24"/>
    </row>
    <row r="21" spans="2:6" x14ac:dyDescent="0.25">
      <c r="B21" s="12"/>
      <c r="C21" s="5"/>
      <c r="D21" s="1">
        <v>8</v>
      </c>
      <c r="E21" s="2">
        <v>0.59</v>
      </c>
      <c r="F21" s="24"/>
    </row>
    <row r="22" spans="2:6" x14ac:dyDescent="0.25">
      <c r="B22" s="12"/>
      <c r="C22" s="5"/>
      <c r="D22" s="1">
        <v>9</v>
      </c>
      <c r="E22" s="2">
        <v>0.61</v>
      </c>
      <c r="F22" s="24"/>
    </row>
    <row r="23" spans="2:6" ht="15.75" thickBot="1" x14ac:dyDescent="0.3">
      <c r="B23" s="13"/>
      <c r="C23" s="25"/>
      <c r="D23" s="20">
        <v>10</v>
      </c>
      <c r="E23" s="21">
        <v>0.6</v>
      </c>
      <c r="F23" s="26"/>
    </row>
    <row r="24" spans="2:6" x14ac:dyDescent="0.25">
      <c r="B24" s="11" t="s">
        <v>4</v>
      </c>
      <c r="C24" s="23" t="s">
        <v>11</v>
      </c>
      <c r="D24" s="15">
        <v>1</v>
      </c>
      <c r="E24" s="27">
        <v>2.5099999999999998</v>
      </c>
      <c r="F24" s="17">
        <f>AVERAGE(E24:E33)</f>
        <v>2.5009999999999999</v>
      </c>
    </row>
    <row r="25" spans="2:6" x14ac:dyDescent="0.25">
      <c r="B25" s="12"/>
      <c r="C25" s="5"/>
      <c r="D25" s="1">
        <v>2</v>
      </c>
      <c r="E25" s="3">
        <v>2.5</v>
      </c>
      <c r="F25" s="18"/>
    </row>
    <row r="26" spans="2:6" x14ac:dyDescent="0.25">
      <c r="B26" s="12"/>
      <c r="C26" s="5"/>
      <c r="D26" s="1">
        <v>3</v>
      </c>
      <c r="E26" s="3">
        <v>2.5</v>
      </c>
      <c r="F26" s="18"/>
    </row>
    <row r="27" spans="2:6" x14ac:dyDescent="0.25">
      <c r="B27" s="12"/>
      <c r="C27" s="5"/>
      <c r="D27" s="1">
        <v>4</v>
      </c>
      <c r="E27" s="3">
        <v>2.5099999999999998</v>
      </c>
      <c r="F27" s="18"/>
    </row>
    <row r="28" spans="2:6" x14ac:dyDescent="0.25">
      <c r="B28" s="12"/>
      <c r="C28" s="5"/>
      <c r="D28" s="1">
        <v>5</v>
      </c>
      <c r="E28" s="3">
        <v>2.5</v>
      </c>
      <c r="F28" s="18"/>
    </row>
    <row r="29" spans="2:6" x14ac:dyDescent="0.25">
      <c r="B29" s="12"/>
      <c r="C29" s="5"/>
      <c r="D29" s="1">
        <v>6</v>
      </c>
      <c r="E29" s="3">
        <v>2.5</v>
      </c>
      <c r="F29" s="18"/>
    </row>
    <row r="30" spans="2:6" x14ac:dyDescent="0.25">
      <c r="B30" s="12"/>
      <c r="C30" s="5"/>
      <c r="D30" s="1">
        <v>7</v>
      </c>
      <c r="E30" s="3">
        <v>2.4900000000000002</v>
      </c>
      <c r="F30" s="18"/>
    </row>
    <row r="31" spans="2:6" x14ac:dyDescent="0.25">
      <c r="B31" s="12"/>
      <c r="C31" s="5"/>
      <c r="D31" s="1">
        <v>8</v>
      </c>
      <c r="E31" s="3">
        <v>2.5</v>
      </c>
      <c r="F31" s="18"/>
    </row>
    <row r="32" spans="2:6" x14ac:dyDescent="0.25">
      <c r="B32" s="12"/>
      <c r="C32" s="5"/>
      <c r="D32" s="1">
        <v>9</v>
      </c>
      <c r="E32" s="3">
        <v>2.4900000000000002</v>
      </c>
      <c r="F32" s="18"/>
    </row>
    <row r="33" spans="2:6" ht="15.75" thickBot="1" x14ac:dyDescent="0.3">
      <c r="B33" s="13"/>
      <c r="C33" s="25"/>
      <c r="D33" s="20">
        <v>10</v>
      </c>
      <c r="E33" s="28">
        <v>2.5099999999999998</v>
      </c>
      <c r="F33" s="22"/>
    </row>
    <row r="34" spans="2:6" x14ac:dyDescent="0.25">
      <c r="B34" s="11" t="s">
        <v>5</v>
      </c>
      <c r="C34" s="23" t="s">
        <v>7</v>
      </c>
      <c r="D34" s="15">
        <v>1</v>
      </c>
      <c r="E34" s="16">
        <v>2.5</v>
      </c>
      <c r="F34" s="17">
        <f>AVERAGE(E34:E43)</f>
        <v>2.5029999999999992</v>
      </c>
    </row>
    <row r="35" spans="2:6" x14ac:dyDescent="0.25">
      <c r="B35" s="12"/>
      <c r="C35" s="5"/>
      <c r="D35" s="1">
        <v>2</v>
      </c>
      <c r="E35" s="2">
        <v>2.5</v>
      </c>
      <c r="F35" s="18"/>
    </row>
    <row r="36" spans="2:6" x14ac:dyDescent="0.25">
      <c r="B36" s="12"/>
      <c r="C36" s="5"/>
      <c r="D36" s="1">
        <v>3</v>
      </c>
      <c r="E36" s="2">
        <v>2.5099999999999998</v>
      </c>
      <c r="F36" s="18"/>
    </row>
    <row r="37" spans="2:6" x14ac:dyDescent="0.25">
      <c r="B37" s="12"/>
      <c r="C37" s="5"/>
      <c r="D37" s="1">
        <v>4</v>
      </c>
      <c r="E37" s="2">
        <v>2.4900000000000002</v>
      </c>
      <c r="F37" s="18"/>
    </row>
    <row r="38" spans="2:6" x14ac:dyDescent="0.25">
      <c r="B38" s="12"/>
      <c r="C38" s="5"/>
      <c r="D38" s="1">
        <v>5</v>
      </c>
      <c r="E38" s="2">
        <v>2.5</v>
      </c>
      <c r="F38" s="18"/>
    </row>
    <row r="39" spans="2:6" x14ac:dyDescent="0.25">
      <c r="B39" s="12"/>
      <c r="C39" s="5"/>
      <c r="D39" s="1">
        <v>6</v>
      </c>
      <c r="E39" s="2">
        <v>2.5099999999999998</v>
      </c>
      <c r="F39" s="18"/>
    </row>
    <row r="40" spans="2:6" x14ac:dyDescent="0.25">
      <c r="B40" s="12"/>
      <c r="C40" s="5"/>
      <c r="D40" s="1">
        <v>7</v>
      </c>
      <c r="E40" s="2">
        <v>2.5</v>
      </c>
      <c r="F40" s="18"/>
    </row>
    <row r="41" spans="2:6" x14ac:dyDescent="0.25">
      <c r="B41" s="12"/>
      <c r="C41" s="5"/>
      <c r="D41" s="1">
        <v>8</v>
      </c>
      <c r="E41" s="2">
        <v>2.5</v>
      </c>
      <c r="F41" s="18"/>
    </row>
    <row r="42" spans="2:6" x14ac:dyDescent="0.25">
      <c r="B42" s="12"/>
      <c r="C42" s="5"/>
      <c r="D42" s="1">
        <v>9</v>
      </c>
      <c r="E42" s="2">
        <v>2.5099999999999998</v>
      </c>
      <c r="F42" s="18"/>
    </row>
    <row r="43" spans="2:6" ht="15.75" thickBot="1" x14ac:dyDescent="0.3">
      <c r="B43" s="13"/>
      <c r="C43" s="25"/>
      <c r="D43" s="20">
        <v>10</v>
      </c>
      <c r="E43" s="21">
        <v>2.5099999999999998</v>
      </c>
      <c r="F43" s="22"/>
    </row>
    <row r="44" spans="2:6" x14ac:dyDescent="0.25">
      <c r="B44" s="11" t="s">
        <v>12</v>
      </c>
      <c r="C44" s="23" t="s">
        <v>8</v>
      </c>
      <c r="D44" s="15">
        <v>1</v>
      </c>
      <c r="E44" s="27">
        <v>6.02</v>
      </c>
      <c r="F44" s="17">
        <f>AVERAGE(E44:E53)</f>
        <v>6.0040000000000004</v>
      </c>
    </row>
    <row r="45" spans="2:6" x14ac:dyDescent="0.25">
      <c r="B45" s="12"/>
      <c r="C45" s="5"/>
      <c r="D45" s="1">
        <v>2</v>
      </c>
      <c r="E45" s="3">
        <v>6</v>
      </c>
      <c r="F45" s="18"/>
    </row>
    <row r="46" spans="2:6" x14ac:dyDescent="0.25">
      <c r="B46" s="12"/>
      <c r="C46" s="5"/>
      <c r="D46" s="1">
        <v>3</v>
      </c>
      <c r="E46" s="3">
        <v>6.01</v>
      </c>
      <c r="F46" s="18"/>
    </row>
    <row r="47" spans="2:6" x14ac:dyDescent="0.25">
      <c r="B47" s="12"/>
      <c r="C47" s="5"/>
      <c r="D47" s="1">
        <v>4</v>
      </c>
      <c r="E47" s="3">
        <v>6</v>
      </c>
      <c r="F47" s="18"/>
    </row>
    <row r="48" spans="2:6" x14ac:dyDescent="0.25">
      <c r="B48" s="12"/>
      <c r="C48" s="5"/>
      <c r="D48" s="1">
        <v>5</v>
      </c>
      <c r="E48" s="3">
        <v>5.98</v>
      </c>
      <c r="F48" s="18"/>
    </row>
    <row r="49" spans="2:6" x14ac:dyDescent="0.25">
      <c r="B49" s="12"/>
      <c r="C49" s="5"/>
      <c r="D49" s="1">
        <v>6</v>
      </c>
      <c r="E49" s="3">
        <v>6.02</v>
      </c>
      <c r="F49" s="18"/>
    </row>
    <row r="50" spans="2:6" x14ac:dyDescent="0.25">
      <c r="B50" s="12"/>
      <c r="C50" s="5"/>
      <c r="D50" s="1">
        <v>7</v>
      </c>
      <c r="E50" s="3">
        <v>6</v>
      </c>
      <c r="F50" s="18"/>
    </row>
    <row r="51" spans="2:6" x14ac:dyDescent="0.25">
      <c r="B51" s="12"/>
      <c r="C51" s="5"/>
      <c r="D51" s="1">
        <v>8</v>
      </c>
      <c r="E51" s="3">
        <v>5.99</v>
      </c>
      <c r="F51" s="18"/>
    </row>
    <row r="52" spans="2:6" x14ac:dyDescent="0.25">
      <c r="B52" s="12"/>
      <c r="C52" s="5"/>
      <c r="D52" s="1">
        <v>9</v>
      </c>
      <c r="E52" s="3">
        <v>6.02</v>
      </c>
      <c r="F52" s="18"/>
    </row>
    <row r="53" spans="2:6" ht="15.75" thickBot="1" x14ac:dyDescent="0.3">
      <c r="B53" s="13"/>
      <c r="C53" s="25"/>
      <c r="D53" s="20">
        <v>10</v>
      </c>
      <c r="E53" s="28">
        <v>6</v>
      </c>
      <c r="F53" s="22"/>
    </row>
    <row r="54" spans="2:6" x14ac:dyDescent="0.25">
      <c r="B54" s="11" t="s">
        <v>13</v>
      </c>
      <c r="C54" s="14" t="s">
        <v>14</v>
      </c>
      <c r="D54" s="15">
        <v>1</v>
      </c>
      <c r="E54" s="15">
        <v>14.28</v>
      </c>
      <c r="F54" s="29">
        <f>AVERAGE(E54:E63)</f>
        <v>14.25</v>
      </c>
    </row>
    <row r="55" spans="2:6" x14ac:dyDescent="0.25">
      <c r="B55" s="12"/>
      <c r="C55" s="4"/>
      <c r="D55" s="1">
        <v>2</v>
      </c>
      <c r="E55" s="1">
        <v>14.25</v>
      </c>
      <c r="F55" s="30"/>
    </row>
    <row r="56" spans="2:6" x14ac:dyDescent="0.25">
      <c r="B56" s="12"/>
      <c r="C56" s="4"/>
      <c r="D56" s="1">
        <v>3</v>
      </c>
      <c r="E56" s="1">
        <v>14.23</v>
      </c>
      <c r="F56" s="30"/>
    </row>
    <row r="57" spans="2:6" x14ac:dyDescent="0.25">
      <c r="B57" s="12"/>
      <c r="C57" s="4"/>
      <c r="D57" s="1">
        <v>4</v>
      </c>
      <c r="E57" s="1">
        <v>14.22</v>
      </c>
      <c r="F57" s="30"/>
    </row>
    <row r="58" spans="2:6" x14ac:dyDescent="0.25">
      <c r="B58" s="12"/>
      <c r="C58" s="4"/>
      <c r="D58" s="1">
        <v>5</v>
      </c>
      <c r="E58" s="1">
        <v>14.25</v>
      </c>
      <c r="F58" s="30"/>
    </row>
    <row r="59" spans="2:6" x14ac:dyDescent="0.25">
      <c r="B59" s="12"/>
      <c r="C59" s="4"/>
      <c r="D59" s="1">
        <v>6</v>
      </c>
      <c r="E59" s="1">
        <v>14.25</v>
      </c>
      <c r="F59" s="30"/>
    </row>
    <row r="60" spans="2:6" x14ac:dyDescent="0.25">
      <c r="B60" s="12"/>
      <c r="C60" s="4"/>
      <c r="D60" s="1">
        <v>7</v>
      </c>
      <c r="E60" s="1">
        <v>14.26</v>
      </c>
      <c r="F60" s="30"/>
    </row>
    <row r="61" spans="2:6" x14ac:dyDescent="0.25">
      <c r="B61" s="12"/>
      <c r="C61" s="4"/>
      <c r="D61" s="1">
        <v>8</v>
      </c>
      <c r="E61" s="1">
        <v>14.24</v>
      </c>
      <c r="F61" s="30"/>
    </row>
    <row r="62" spans="2:6" x14ac:dyDescent="0.25">
      <c r="B62" s="12"/>
      <c r="C62" s="4"/>
      <c r="D62" s="1">
        <v>9</v>
      </c>
      <c r="E62" s="1">
        <v>14.24</v>
      </c>
      <c r="F62" s="30"/>
    </row>
    <row r="63" spans="2:6" ht="15.75" thickBot="1" x14ac:dyDescent="0.3">
      <c r="B63" s="13"/>
      <c r="C63" s="19"/>
      <c r="D63" s="20">
        <v>10</v>
      </c>
      <c r="E63" s="20">
        <v>14.28</v>
      </c>
      <c r="F63" s="31"/>
    </row>
    <row r="64" spans="2:6" s="61" customFormat="1" x14ac:dyDescent="0.25"/>
    <row r="65" spans="2:6" s="61" customFormat="1" x14ac:dyDescent="0.25"/>
    <row r="66" spans="2:6" s="61" customFormat="1" x14ac:dyDescent="0.25"/>
    <row r="67" spans="2:6" s="61" customFormat="1" ht="15.75" thickBot="1" x14ac:dyDescent="0.3"/>
    <row r="68" spans="2:6" ht="31.5" customHeight="1" thickBot="1" x14ac:dyDescent="0.3">
      <c r="B68" s="32" t="s">
        <v>18</v>
      </c>
      <c r="C68" s="33"/>
      <c r="D68" s="34"/>
      <c r="E68" s="61"/>
      <c r="F68" s="61"/>
    </row>
    <row r="69" spans="2:6" ht="38.25" customHeight="1" thickBot="1" x14ac:dyDescent="0.3">
      <c r="B69" s="35" t="s">
        <v>0</v>
      </c>
      <c r="C69" s="35" t="s">
        <v>6</v>
      </c>
      <c r="D69" s="35" t="s">
        <v>17</v>
      </c>
      <c r="E69" s="61"/>
      <c r="F69" s="61"/>
    </row>
    <row r="70" spans="2:6" ht="35.25" customHeight="1" thickBot="1" x14ac:dyDescent="0.3">
      <c r="B70" s="9" t="s">
        <v>2</v>
      </c>
      <c r="C70" s="38" t="s">
        <v>9</v>
      </c>
      <c r="D70" s="36">
        <f>AVERAGE(E4:E13)</f>
        <v>1.5129999999999999</v>
      </c>
      <c r="E70" s="61"/>
      <c r="F70" s="61"/>
    </row>
    <row r="71" spans="2:6" ht="39.75" customHeight="1" thickBot="1" x14ac:dyDescent="0.3">
      <c r="B71" s="9" t="s">
        <v>3</v>
      </c>
      <c r="C71" s="38" t="s">
        <v>10</v>
      </c>
      <c r="D71" s="36">
        <f>AVERAGE(E14:E23)</f>
        <v>0.6</v>
      </c>
      <c r="E71" s="61"/>
      <c r="F71" s="61"/>
    </row>
    <row r="72" spans="2:6" ht="41.25" customHeight="1" thickBot="1" x14ac:dyDescent="0.3">
      <c r="B72" s="9" t="s">
        <v>4</v>
      </c>
      <c r="C72" s="38" t="s">
        <v>11</v>
      </c>
      <c r="D72" s="36">
        <f>AVERAGE(E24:E33)</f>
        <v>2.5009999999999999</v>
      </c>
      <c r="E72" s="61"/>
      <c r="F72" s="61"/>
    </row>
    <row r="73" spans="2:6" ht="30.75" customHeight="1" thickBot="1" x14ac:dyDescent="0.3">
      <c r="B73" s="9" t="s">
        <v>5</v>
      </c>
      <c r="C73" s="38" t="s">
        <v>7</v>
      </c>
      <c r="D73" s="36">
        <f>AVERAGE(E34:E43)</f>
        <v>2.5029999999999992</v>
      </c>
      <c r="E73" s="61"/>
      <c r="F73" s="61"/>
    </row>
    <row r="74" spans="2:6" ht="41.25" customHeight="1" thickBot="1" x14ac:dyDescent="0.3">
      <c r="B74" s="9" t="s">
        <v>12</v>
      </c>
      <c r="C74" s="38" t="s">
        <v>8</v>
      </c>
      <c r="D74" s="36">
        <f>AVERAGE(E44:E53)</f>
        <v>6.0040000000000004</v>
      </c>
      <c r="E74" s="61"/>
      <c r="F74" s="61"/>
    </row>
    <row r="75" spans="2:6" ht="38.25" customHeight="1" thickBot="1" x14ac:dyDescent="0.3">
      <c r="B75" s="40" t="s">
        <v>13</v>
      </c>
      <c r="C75" s="39" t="s">
        <v>14</v>
      </c>
      <c r="D75" s="37">
        <f>AVERAGE(E54:E63)</f>
        <v>14.25</v>
      </c>
      <c r="E75" s="61"/>
      <c r="F75" s="61"/>
    </row>
    <row r="76" spans="2:6" s="61" customFormat="1" x14ac:dyDescent="0.25"/>
    <row r="77" spans="2:6" s="61" customFormat="1" x14ac:dyDescent="0.25"/>
    <row r="78" spans="2:6" s="61" customFormat="1" x14ac:dyDescent="0.25"/>
    <row r="79" spans="2:6" s="61" customFormat="1" x14ac:dyDescent="0.25"/>
    <row r="80" spans="2:6" s="61" customFormat="1" x14ac:dyDescent="0.25"/>
    <row r="81" s="61" customFormat="1" x14ac:dyDescent="0.25"/>
    <row r="82" s="61" customFormat="1" x14ac:dyDescent="0.25"/>
    <row r="83" s="61" customFormat="1" x14ac:dyDescent="0.25"/>
    <row r="84" s="61" customFormat="1" x14ac:dyDescent="0.25"/>
    <row r="85" s="61" customFormat="1" x14ac:dyDescent="0.25"/>
    <row r="86" s="61" customFormat="1" x14ac:dyDescent="0.25"/>
    <row r="87" s="61" customFormat="1" x14ac:dyDescent="0.25"/>
    <row r="88" s="61" customFormat="1" x14ac:dyDescent="0.25"/>
    <row r="89" s="61" customFormat="1" x14ac:dyDescent="0.25"/>
    <row r="90" s="61" customFormat="1" x14ac:dyDescent="0.25"/>
    <row r="91" s="61" customFormat="1" x14ac:dyDescent="0.25"/>
    <row r="92" s="61" customFormat="1" x14ac:dyDescent="0.25"/>
    <row r="93" s="61" customFormat="1" x14ac:dyDescent="0.25"/>
    <row r="94" s="61" customFormat="1" x14ac:dyDescent="0.25"/>
    <row r="95" s="61" customFormat="1" x14ac:dyDescent="0.25"/>
    <row r="96" s="61" customFormat="1" x14ac:dyDescent="0.25"/>
    <row r="97" s="61" customFormat="1" x14ac:dyDescent="0.25"/>
    <row r="98" s="61" customFormat="1" x14ac:dyDescent="0.25"/>
    <row r="99" s="61" customFormat="1" x14ac:dyDescent="0.25"/>
  </sheetData>
  <mergeCells count="20">
    <mergeCell ref="B2:F2"/>
    <mergeCell ref="B68:D68"/>
    <mergeCell ref="B54:B63"/>
    <mergeCell ref="C54:C63"/>
    <mergeCell ref="F4:F13"/>
    <mergeCell ref="F14:F23"/>
    <mergeCell ref="F24:F33"/>
    <mergeCell ref="F34:F43"/>
    <mergeCell ref="F44:F53"/>
    <mergeCell ref="F54:F63"/>
    <mergeCell ref="C4:C13"/>
    <mergeCell ref="C14:C23"/>
    <mergeCell ref="C24:C33"/>
    <mergeCell ref="C34:C43"/>
    <mergeCell ref="C44:C53"/>
    <mergeCell ref="B4:B13"/>
    <mergeCell ref="B24:B33"/>
    <mergeCell ref="B34:B43"/>
    <mergeCell ref="B44:B53"/>
    <mergeCell ref="B14:B23"/>
  </mergeCells>
  <pageMargins left="0.7" right="0.7" top="0.75" bottom="0.75" header="0.3" footer="0.3"/>
  <ignoredErrors>
    <ignoredError sqref="F14 F24 F4 F34 F44 F54 D70:D7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F736-AED1-4591-8C81-7E7A4EBDF695}">
  <dimension ref="A1:AA43"/>
  <sheetViews>
    <sheetView workbookViewId="0">
      <selection activeCell="I16" sqref="I16"/>
    </sheetView>
  </sheetViews>
  <sheetFormatPr baseColWidth="10" defaultRowHeight="15" x14ac:dyDescent="0.25"/>
  <cols>
    <col min="2" max="2" width="30.140625" customWidth="1"/>
    <col min="3" max="3" width="12" customWidth="1"/>
    <col min="4" max="4" width="33.85546875" customWidth="1"/>
    <col min="5" max="27" width="11.42578125" style="61"/>
  </cols>
  <sheetData>
    <row r="1" spans="1:4" s="61" customFormat="1" ht="15.75" thickBot="1" x14ac:dyDescent="0.3"/>
    <row r="2" spans="1:4" ht="32.25" customHeight="1" thickBot="1" x14ac:dyDescent="0.3">
      <c r="A2" s="61"/>
      <c r="B2" s="58" t="s">
        <v>35</v>
      </c>
      <c r="C2" s="59"/>
      <c r="D2" s="60"/>
    </row>
    <row r="3" spans="1:4" ht="15.75" thickBot="1" x14ac:dyDescent="0.3">
      <c r="A3" s="61"/>
      <c r="B3" s="9" t="s">
        <v>19</v>
      </c>
      <c r="C3" s="9" t="s">
        <v>20</v>
      </c>
      <c r="D3" s="41" t="s">
        <v>21</v>
      </c>
    </row>
    <row r="4" spans="1:4" ht="45" customHeight="1" thickBot="1" x14ac:dyDescent="0.3">
      <c r="A4" s="61"/>
      <c r="B4" s="9" t="s">
        <v>22</v>
      </c>
      <c r="C4" s="44" t="s">
        <v>23</v>
      </c>
      <c r="D4" s="42" t="s">
        <v>24</v>
      </c>
    </row>
    <row r="5" spans="1:4" ht="45.75" customHeight="1" thickBot="1" x14ac:dyDescent="0.3">
      <c r="A5" s="61"/>
      <c r="B5" s="9" t="s">
        <v>25</v>
      </c>
      <c r="C5" s="44" t="s">
        <v>23</v>
      </c>
      <c r="D5" s="42" t="s">
        <v>26</v>
      </c>
    </row>
    <row r="6" spans="1:4" ht="45" customHeight="1" thickBot="1" x14ac:dyDescent="0.3">
      <c r="A6" s="61"/>
      <c r="B6" s="9" t="s">
        <v>27</v>
      </c>
      <c r="C6" s="44" t="s">
        <v>23</v>
      </c>
      <c r="D6" s="42" t="s">
        <v>28</v>
      </c>
    </row>
    <row r="7" spans="1:4" ht="42" customHeight="1" thickBot="1" x14ac:dyDescent="0.3">
      <c r="A7" s="61"/>
      <c r="B7" s="9" t="s">
        <v>29</v>
      </c>
      <c r="C7" s="44" t="s">
        <v>23</v>
      </c>
      <c r="D7" s="42" t="s">
        <v>30</v>
      </c>
    </row>
    <row r="8" spans="1:4" ht="40.5" customHeight="1" thickBot="1" x14ac:dyDescent="0.3">
      <c r="A8" s="61"/>
      <c r="B8" s="9" t="s">
        <v>34</v>
      </c>
      <c r="C8" s="44" t="s">
        <v>23</v>
      </c>
      <c r="D8" s="42" t="s">
        <v>31</v>
      </c>
    </row>
    <row r="9" spans="1:4" ht="36.75" customHeight="1" thickBot="1" x14ac:dyDescent="0.3">
      <c r="A9" s="61"/>
      <c r="B9" s="40" t="s">
        <v>32</v>
      </c>
      <c r="C9" s="45" t="s">
        <v>23</v>
      </c>
      <c r="D9" s="43" t="s">
        <v>33</v>
      </c>
    </row>
    <row r="10" spans="1:4" s="61" customFormat="1" x14ac:dyDescent="0.25"/>
    <row r="11" spans="1:4" s="61" customFormat="1" x14ac:dyDescent="0.25"/>
    <row r="12" spans="1:4" s="61" customFormat="1" x14ac:dyDescent="0.25"/>
    <row r="13" spans="1:4" s="61" customFormat="1" x14ac:dyDescent="0.25"/>
    <row r="14" spans="1:4" s="61" customFormat="1" x14ac:dyDescent="0.25"/>
    <row r="15" spans="1:4" s="61" customFormat="1" x14ac:dyDescent="0.25"/>
    <row r="16" spans="1:4" s="61" customFormat="1" x14ac:dyDescent="0.25"/>
    <row r="17" s="61" customFormat="1" x14ac:dyDescent="0.25"/>
    <row r="18" s="61" customFormat="1" x14ac:dyDescent="0.25"/>
    <row r="19" s="61" customFormat="1" x14ac:dyDescent="0.25"/>
    <row r="20" s="61" customFormat="1" x14ac:dyDescent="0.25"/>
    <row r="21" s="61" customFormat="1" x14ac:dyDescent="0.25"/>
    <row r="22" s="61" customFormat="1" x14ac:dyDescent="0.25"/>
    <row r="23" s="61" customFormat="1" x14ac:dyDescent="0.25"/>
    <row r="24" s="61" customFormat="1" x14ac:dyDescent="0.25"/>
    <row r="25" s="61" customFormat="1" x14ac:dyDescent="0.25"/>
    <row r="26" s="61" customFormat="1" x14ac:dyDescent="0.25"/>
    <row r="27" s="61" customFormat="1" x14ac:dyDescent="0.25"/>
    <row r="28" s="61" customFormat="1" x14ac:dyDescent="0.25"/>
    <row r="29" s="61" customFormat="1" x14ac:dyDescent="0.25"/>
    <row r="30" s="61" customFormat="1" x14ac:dyDescent="0.25"/>
    <row r="31" s="61" customFormat="1" x14ac:dyDescent="0.25"/>
    <row r="32" s="61" customFormat="1" x14ac:dyDescent="0.25"/>
    <row r="33" s="61" customFormat="1" x14ac:dyDescent="0.25"/>
    <row r="34" s="61" customFormat="1" x14ac:dyDescent="0.25"/>
    <row r="35" s="61" customFormat="1" x14ac:dyDescent="0.25"/>
    <row r="36" s="61" customFormat="1" x14ac:dyDescent="0.25"/>
    <row r="37" s="61" customFormat="1" x14ac:dyDescent="0.25"/>
    <row r="38" s="61" customFormat="1" x14ac:dyDescent="0.25"/>
    <row r="39" s="61" customFormat="1" x14ac:dyDescent="0.25"/>
    <row r="40" s="61" customFormat="1" x14ac:dyDescent="0.25"/>
    <row r="41" s="61" customFormat="1" x14ac:dyDescent="0.25"/>
    <row r="42" s="61" customFormat="1" x14ac:dyDescent="0.25"/>
    <row r="43" s="61" customFormat="1" x14ac:dyDescent="0.25"/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490B-F193-4BF1-9CEE-7D6984A101FB}">
  <dimension ref="A1:AE52"/>
  <sheetViews>
    <sheetView tabSelected="1" workbookViewId="0">
      <selection activeCell="I4" sqref="I4:I18"/>
    </sheetView>
  </sheetViews>
  <sheetFormatPr baseColWidth="10" defaultRowHeight="15" x14ac:dyDescent="0.25"/>
  <cols>
    <col min="1" max="1" width="11.42578125" style="61"/>
    <col min="10" max="31" width="11.42578125" style="61"/>
  </cols>
  <sheetData>
    <row r="1" spans="2:9" s="61" customFormat="1" ht="15.75" thickBot="1" x14ac:dyDescent="0.3"/>
    <row r="2" spans="2:9" ht="26.25" customHeight="1" thickBot="1" x14ac:dyDescent="0.3">
      <c r="B2" s="6" t="s">
        <v>48</v>
      </c>
      <c r="C2" s="7"/>
      <c r="D2" s="7"/>
      <c r="E2" s="7"/>
      <c r="F2" s="7"/>
      <c r="G2" s="7"/>
      <c r="H2" s="7"/>
      <c r="I2" s="8"/>
    </row>
    <row r="3" spans="2:9" ht="45.75" thickBot="1" x14ac:dyDescent="0.3">
      <c r="B3" s="9" t="s">
        <v>1</v>
      </c>
      <c r="C3" s="9" t="s">
        <v>36</v>
      </c>
      <c r="D3" s="9" t="s">
        <v>37</v>
      </c>
      <c r="E3" s="9" t="s">
        <v>41</v>
      </c>
      <c r="F3" s="9" t="s">
        <v>38</v>
      </c>
      <c r="G3" s="9" t="s">
        <v>39</v>
      </c>
      <c r="H3" s="9" t="s">
        <v>40</v>
      </c>
      <c r="I3" s="9" t="s">
        <v>45</v>
      </c>
    </row>
    <row r="4" spans="2:9" x14ac:dyDescent="0.25">
      <c r="B4" s="52">
        <v>1</v>
      </c>
      <c r="C4" s="52">
        <v>1</v>
      </c>
      <c r="D4" s="52">
        <v>33</v>
      </c>
      <c r="E4" s="55" t="s">
        <v>42</v>
      </c>
      <c r="F4" s="52">
        <v>5</v>
      </c>
      <c r="G4" s="53">
        <f>D4/H4</f>
        <v>5.8510638297872344</v>
      </c>
      <c r="H4" s="53">
        <v>5.64</v>
      </c>
      <c r="I4" s="54">
        <f>AVERAGE(G4:G18)</f>
        <v>11.974673452243982</v>
      </c>
    </row>
    <row r="5" spans="2:9" x14ac:dyDescent="0.25">
      <c r="B5" s="46">
        <v>2</v>
      </c>
      <c r="C5" s="46">
        <v>1</v>
      </c>
      <c r="D5" s="46">
        <v>33</v>
      </c>
      <c r="E5" s="56"/>
      <c r="F5" s="46">
        <v>5</v>
      </c>
      <c r="G5" s="50">
        <f t="shared" ref="G5:G18" si="0">D5/H5</f>
        <v>5.7692307692307692</v>
      </c>
      <c r="H5" s="50">
        <v>5.72</v>
      </c>
      <c r="I5" s="48"/>
    </row>
    <row r="6" spans="2:9" x14ac:dyDescent="0.25">
      <c r="B6" s="46">
        <v>3</v>
      </c>
      <c r="C6" s="46">
        <v>1</v>
      </c>
      <c r="D6" s="46">
        <v>33</v>
      </c>
      <c r="E6" s="56"/>
      <c r="F6" s="46">
        <v>5</v>
      </c>
      <c r="G6" s="50">
        <f t="shared" si="0"/>
        <v>5.8718861209964412</v>
      </c>
      <c r="H6" s="50">
        <v>5.62</v>
      </c>
      <c r="I6" s="48"/>
    </row>
    <row r="7" spans="2:9" x14ac:dyDescent="0.25">
      <c r="B7" s="46">
        <v>4</v>
      </c>
      <c r="C7" s="46">
        <v>1</v>
      </c>
      <c r="D7" s="46">
        <v>33</v>
      </c>
      <c r="E7" s="56" t="s">
        <v>44</v>
      </c>
      <c r="F7" s="46">
        <v>4</v>
      </c>
      <c r="G7" s="50">
        <f t="shared" si="0"/>
        <v>7.5514874141876431</v>
      </c>
      <c r="H7" s="50">
        <v>4.37</v>
      </c>
      <c r="I7" s="48"/>
    </row>
    <row r="8" spans="2:9" x14ac:dyDescent="0.25">
      <c r="B8" s="46">
        <v>5</v>
      </c>
      <c r="C8" s="46">
        <v>1</v>
      </c>
      <c r="D8" s="46">
        <v>33</v>
      </c>
      <c r="E8" s="56"/>
      <c r="F8" s="46">
        <v>4</v>
      </c>
      <c r="G8" s="50">
        <f t="shared" si="0"/>
        <v>7.1739130434782616</v>
      </c>
      <c r="H8" s="50">
        <v>4.5999999999999996</v>
      </c>
      <c r="I8" s="48"/>
    </row>
    <row r="9" spans="2:9" x14ac:dyDescent="0.25">
      <c r="B9" s="46">
        <v>6</v>
      </c>
      <c r="C9" s="46">
        <v>1</v>
      </c>
      <c r="D9" s="46">
        <v>33</v>
      </c>
      <c r="E9" s="56"/>
      <c r="F9" s="46">
        <v>4</v>
      </c>
      <c r="G9" s="50">
        <f t="shared" si="0"/>
        <v>7.4492099322799099</v>
      </c>
      <c r="H9" s="50">
        <v>4.43</v>
      </c>
      <c r="I9" s="48"/>
    </row>
    <row r="10" spans="2:9" x14ac:dyDescent="0.25">
      <c r="B10" s="46">
        <v>7</v>
      </c>
      <c r="C10" s="46">
        <v>1</v>
      </c>
      <c r="D10" s="46">
        <v>33</v>
      </c>
      <c r="E10" s="56" t="s">
        <v>47</v>
      </c>
      <c r="F10" s="46">
        <v>3</v>
      </c>
      <c r="G10" s="50">
        <f t="shared" si="0"/>
        <v>9.8507462686567155</v>
      </c>
      <c r="H10" s="50">
        <v>3.35</v>
      </c>
      <c r="I10" s="48"/>
    </row>
    <row r="11" spans="2:9" x14ac:dyDescent="0.25">
      <c r="B11" s="46">
        <v>8</v>
      </c>
      <c r="C11" s="46">
        <v>1</v>
      </c>
      <c r="D11" s="46">
        <v>33</v>
      </c>
      <c r="E11" s="56"/>
      <c r="F11" s="46">
        <v>3</v>
      </c>
      <c r="G11" s="50">
        <f t="shared" si="0"/>
        <v>9.7633136094674562</v>
      </c>
      <c r="H11" s="50">
        <v>3.38</v>
      </c>
      <c r="I11" s="48"/>
    </row>
    <row r="12" spans="2:9" x14ac:dyDescent="0.25">
      <c r="B12" s="46">
        <v>9</v>
      </c>
      <c r="C12" s="46">
        <v>1</v>
      </c>
      <c r="D12" s="46">
        <v>33</v>
      </c>
      <c r="E12" s="56"/>
      <c r="F12" s="46">
        <v>3</v>
      </c>
      <c r="G12" s="50">
        <f t="shared" si="0"/>
        <v>9.8214285714285712</v>
      </c>
      <c r="H12" s="50">
        <v>3.36</v>
      </c>
      <c r="I12" s="48"/>
    </row>
    <row r="13" spans="2:9" x14ac:dyDescent="0.25">
      <c r="B13" s="46">
        <v>10</v>
      </c>
      <c r="C13" s="46">
        <v>1</v>
      </c>
      <c r="D13" s="46">
        <v>33</v>
      </c>
      <c r="E13" s="56" t="s">
        <v>43</v>
      </c>
      <c r="F13" s="46">
        <v>2</v>
      </c>
      <c r="G13" s="50">
        <f t="shared" si="0"/>
        <v>11.827956989247312</v>
      </c>
      <c r="H13" s="50">
        <v>2.79</v>
      </c>
      <c r="I13" s="48"/>
    </row>
    <row r="14" spans="2:9" x14ac:dyDescent="0.25">
      <c r="B14" s="46">
        <v>11</v>
      </c>
      <c r="C14" s="46">
        <v>1</v>
      </c>
      <c r="D14" s="46">
        <v>33</v>
      </c>
      <c r="E14" s="56"/>
      <c r="F14" s="46">
        <v>2</v>
      </c>
      <c r="G14" s="50">
        <f t="shared" si="0"/>
        <v>11.743772241992882</v>
      </c>
      <c r="H14" s="50">
        <v>2.81</v>
      </c>
      <c r="I14" s="48"/>
    </row>
    <row r="15" spans="2:9" x14ac:dyDescent="0.25">
      <c r="B15" s="46">
        <v>12</v>
      </c>
      <c r="C15" s="46">
        <v>1</v>
      </c>
      <c r="D15" s="46">
        <v>33</v>
      </c>
      <c r="E15" s="56"/>
      <c r="F15" s="46">
        <v>2</v>
      </c>
      <c r="G15" s="50">
        <f t="shared" si="0"/>
        <v>11.743772241992882</v>
      </c>
      <c r="H15" s="50">
        <v>2.81</v>
      </c>
      <c r="I15" s="48"/>
    </row>
    <row r="16" spans="2:9" x14ac:dyDescent="0.25">
      <c r="B16" s="46">
        <v>13</v>
      </c>
      <c r="C16" s="46">
        <v>1</v>
      </c>
      <c r="D16" s="46">
        <v>33</v>
      </c>
      <c r="E16" s="56" t="s">
        <v>46</v>
      </c>
      <c r="F16" s="46">
        <v>1</v>
      </c>
      <c r="G16" s="50">
        <f t="shared" si="0"/>
        <v>25.384615384615383</v>
      </c>
      <c r="H16" s="50">
        <v>1.3</v>
      </c>
      <c r="I16" s="48"/>
    </row>
    <row r="17" spans="2:9" x14ac:dyDescent="0.25">
      <c r="B17" s="46">
        <v>14</v>
      </c>
      <c r="C17" s="46">
        <v>1</v>
      </c>
      <c r="D17" s="46">
        <v>33</v>
      </c>
      <c r="E17" s="56"/>
      <c r="F17" s="46">
        <v>1</v>
      </c>
      <c r="G17" s="50">
        <f t="shared" si="0"/>
        <v>24.626865671641788</v>
      </c>
      <c r="H17" s="50">
        <v>1.34</v>
      </c>
      <c r="I17" s="48"/>
    </row>
    <row r="18" spans="2:9" ht="15.75" thickBot="1" x14ac:dyDescent="0.3">
      <c r="B18" s="47">
        <v>15</v>
      </c>
      <c r="C18" s="47">
        <v>1</v>
      </c>
      <c r="D18" s="47">
        <v>33</v>
      </c>
      <c r="E18" s="57"/>
      <c r="F18" s="47">
        <v>1</v>
      </c>
      <c r="G18" s="51">
        <f t="shared" si="0"/>
        <v>25.190839694656489</v>
      </c>
      <c r="H18" s="51">
        <v>1.31</v>
      </c>
      <c r="I18" s="49"/>
    </row>
    <row r="19" spans="2:9" s="61" customFormat="1" x14ac:dyDescent="0.25"/>
    <row r="20" spans="2:9" s="61" customFormat="1" x14ac:dyDescent="0.25"/>
    <row r="21" spans="2:9" s="61" customFormat="1" x14ac:dyDescent="0.25"/>
    <row r="22" spans="2:9" s="61" customFormat="1" x14ac:dyDescent="0.25"/>
    <row r="23" spans="2:9" s="61" customFormat="1" x14ac:dyDescent="0.25"/>
    <row r="24" spans="2:9" s="61" customFormat="1" x14ac:dyDescent="0.25"/>
    <row r="25" spans="2:9" s="61" customFormat="1" x14ac:dyDescent="0.25"/>
    <row r="26" spans="2:9" s="61" customFormat="1" x14ac:dyDescent="0.25"/>
    <row r="27" spans="2:9" s="61" customFormat="1" x14ac:dyDescent="0.25"/>
    <row r="28" spans="2:9" s="61" customFormat="1" x14ac:dyDescent="0.25"/>
    <row r="29" spans="2:9" s="61" customFormat="1" x14ac:dyDescent="0.25"/>
    <row r="30" spans="2:9" s="61" customFormat="1" x14ac:dyDescent="0.25"/>
    <row r="31" spans="2:9" s="61" customFormat="1" x14ac:dyDescent="0.25"/>
    <row r="32" spans="2:9" s="61" customFormat="1" x14ac:dyDescent="0.25"/>
    <row r="33" s="61" customFormat="1" x14ac:dyDescent="0.25"/>
    <row r="34" s="61" customFormat="1" x14ac:dyDescent="0.25"/>
    <row r="35" s="61" customFormat="1" x14ac:dyDescent="0.25"/>
    <row r="36" s="61" customFormat="1" x14ac:dyDescent="0.25"/>
    <row r="37" s="61" customFormat="1" x14ac:dyDescent="0.25"/>
    <row r="38" s="61" customFormat="1" x14ac:dyDescent="0.25"/>
    <row r="39" s="61" customFormat="1" x14ac:dyDescent="0.25"/>
    <row r="40" s="61" customFormat="1" x14ac:dyDescent="0.25"/>
    <row r="41" s="61" customFormat="1" x14ac:dyDescent="0.25"/>
    <row r="42" s="61" customFormat="1" x14ac:dyDescent="0.25"/>
    <row r="43" s="61" customFormat="1" x14ac:dyDescent="0.25"/>
    <row r="44" s="61" customFormat="1" x14ac:dyDescent="0.25"/>
    <row r="45" s="61" customFormat="1" x14ac:dyDescent="0.25"/>
    <row r="46" s="61" customFormat="1" x14ac:dyDescent="0.25"/>
    <row r="47" s="61" customFormat="1" x14ac:dyDescent="0.25"/>
    <row r="48" s="61" customFormat="1" x14ac:dyDescent="0.25"/>
    <row r="49" s="61" customFormat="1" x14ac:dyDescent="0.25"/>
    <row r="50" s="61" customFormat="1" x14ac:dyDescent="0.25"/>
    <row r="51" s="61" customFormat="1" x14ac:dyDescent="0.25"/>
    <row r="52" s="61" customFormat="1" x14ac:dyDescent="0.25"/>
  </sheetData>
  <mergeCells count="7">
    <mergeCell ref="I4:I18"/>
    <mergeCell ref="B2:I2"/>
    <mergeCell ref="E4:E6"/>
    <mergeCell ref="E7:E9"/>
    <mergeCell ref="E10:E12"/>
    <mergeCell ref="E13:E15"/>
    <mergeCell ref="E16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ISO 17049</vt:lpstr>
      <vt:lpstr>Software</vt:lpstr>
      <vt:lpstr>Velocidad de 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Daniel Rey Ríos</dc:creator>
  <cp:lastModifiedBy>Jorge Daniel Rey Ríos</cp:lastModifiedBy>
  <dcterms:created xsi:type="dcterms:W3CDTF">2025-11-15T06:16:41Z</dcterms:created>
  <dcterms:modified xsi:type="dcterms:W3CDTF">2025-11-15T08:01:46Z</dcterms:modified>
</cp:coreProperties>
</file>