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6EEA203-B1D9-4BD9-9EBC-BC44936BBD01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APU materiales" sheetId="1" r:id="rId1"/>
    <sheet name="Costos indirectos" sheetId="3" r:id="rId2"/>
    <sheet name="Mano de obra (Desarrollo)" sheetId="2" r:id="rId3"/>
    <sheet name="Resum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  <c r="E7" i="2"/>
  <c r="E5" i="2"/>
  <c r="E6" i="2"/>
  <c r="E4" i="2"/>
  <c r="E11" i="3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" i="1"/>
  <c r="E50" i="1" l="1"/>
</calcChain>
</file>

<file path=xl/sharedStrings.xml><?xml version="1.0" encoding="utf-8"?>
<sst xmlns="http://schemas.openxmlformats.org/spreadsheetml/2006/main" count="154" uniqueCount="102">
  <si>
    <t>Insumo</t>
  </si>
  <si>
    <t>Unidad</t>
  </si>
  <si>
    <t>Cantidad</t>
  </si>
  <si>
    <t>Precio unitario (USD)</t>
  </si>
  <si>
    <t>Subtotal (USD)</t>
  </si>
  <si>
    <t>Lámina acrílico transparente 3mm (1/4 hoja)</t>
  </si>
  <si>
    <t>Tornillería M4 negra bristol</t>
  </si>
  <si>
    <t>Tuerca tipo T para perfil 2020</t>
  </si>
  <si>
    <t>O-ring 20 mm</t>
  </si>
  <si>
    <t>Eje acero plata 8 mm (1 m)</t>
  </si>
  <si>
    <t>Perfil aluminio 2020 (1 m)</t>
  </si>
  <si>
    <t>Unión 3 esquinas perfil 2020</t>
  </si>
  <si>
    <t>Ángulo perfil 2020</t>
  </si>
  <si>
    <t>Tornillo prisionero M3</t>
  </si>
  <si>
    <t>Tornillo M3 bristol acero inox</t>
  </si>
  <si>
    <t>Filamento TPU 500 g</t>
  </si>
  <si>
    <t>Filamento ABS 500 g</t>
  </si>
  <si>
    <t>Rodamiento lineal LM8UU</t>
  </si>
  <si>
    <t>Motor NEMA 17</t>
  </si>
  <si>
    <t>Rodamiento 608ZZ</t>
  </si>
  <si>
    <t>Fuente 12 V – 30 A</t>
  </si>
  <si>
    <t>Arduino Mega (compatible)</t>
  </si>
  <si>
    <t>Shield RAMPS 1.4</t>
  </si>
  <si>
    <t>Ventilador 12 V</t>
  </si>
  <si>
    <t>Speaker 4 W</t>
  </si>
  <si>
    <t>Conector AC-01A (IEC C14 panel)</t>
  </si>
  <si>
    <t>Interruptor con led acero inox</t>
  </si>
  <si>
    <t>Driver A4988</t>
  </si>
  <si>
    <t>Solenoide JF-0530B</t>
  </si>
  <si>
    <t>Tuerca M3 acero inox</t>
  </si>
  <si>
    <t>Extensor PCB 20 mm, Ø3 mm (standoff)</t>
  </si>
  <si>
    <t>Acople flexible NEMA17</t>
  </si>
  <si>
    <t>Tornillo trapezoidal 8 mm, 4 hilos, 15 cm</t>
  </si>
  <si>
    <t>Tuerca antibacklash 8 mm</t>
  </si>
  <si>
    <t>Resina líquida transparente 1 kg</t>
  </si>
  <si>
    <t>Módulo sensor de herradura 3 pines</t>
  </si>
  <si>
    <t>Módulo final de carrera impresora 3D</t>
  </si>
  <si>
    <t>MOSFET IRLZ44N</t>
  </si>
  <si>
    <t>Diodo 1N4001</t>
  </si>
  <si>
    <t>Bornera 2 pines</t>
  </si>
  <si>
    <t>Módulo DFPlayer Mini</t>
  </si>
  <si>
    <t>Amplificador PAM8403</t>
  </si>
  <si>
    <t>Regleta headers hembra</t>
  </si>
  <si>
    <t>Resistencias SMD surtidas</t>
  </si>
  <si>
    <t>PCB (JLCPCB: 5 unidades = 76 USD)</t>
  </si>
  <si>
    <t>Cable AWG 12 (1 m)</t>
  </si>
  <si>
    <t>Jumpers macho-macho 10 cm</t>
  </si>
  <si>
    <t>Conectores de NEMA 17</t>
  </si>
  <si>
    <t>Cable ribbon (1 m)</t>
  </si>
  <si>
    <t>Conector ojo de pescado (terminal anillo)</t>
  </si>
  <si>
    <t>und</t>
  </si>
  <si>
    <t>pieza</t>
  </si>
  <si>
    <t>m</t>
  </si>
  <si>
    <t>carrete</t>
  </si>
  <si>
    <t>kg</t>
  </si>
  <si>
    <t>tira</t>
  </si>
  <si>
    <t>und-utilizada</t>
  </si>
  <si>
    <t>TOTAL</t>
  </si>
  <si>
    <t>Costos directos de Materiales de la impresora Braille DotUp</t>
  </si>
  <si>
    <t>Concepto</t>
  </si>
  <si>
    <t>Cantidad/Tiempo</t>
  </si>
  <si>
    <t>Costo unitario (USD)</t>
  </si>
  <si>
    <t>Costo Total (USD)</t>
  </si>
  <si>
    <t>Anotaciones</t>
  </si>
  <si>
    <t xml:space="preserve">Impresión 3D (filamento)  </t>
  </si>
  <si>
    <t>Impresión 3D (resina)</t>
  </si>
  <si>
    <t xml:space="preserve">Corte láser acrílico </t>
  </si>
  <si>
    <t xml:space="preserve">Mecanizado CNC  </t>
  </si>
  <si>
    <t>Envíos internacionales</t>
  </si>
  <si>
    <t xml:space="preserve">Licencia SolidWorks </t>
  </si>
  <si>
    <t>Overleaf Premium</t>
  </si>
  <si>
    <t>27 horas</t>
  </si>
  <si>
    <t>2 horas</t>
  </si>
  <si>
    <t>1 sevicio</t>
  </si>
  <si>
    <t>1 servicio</t>
  </si>
  <si>
    <t>-</t>
  </si>
  <si>
    <t>1 año</t>
  </si>
  <si>
    <t>1 mes</t>
  </si>
  <si>
    <t>Costo estimado por hora de impresión</t>
  </si>
  <si>
    <t>Convertido desde COP</t>
  </si>
  <si>
    <t>Piezas electrónicas y mecánicas</t>
  </si>
  <si>
    <t>Uso académico (sin costo)</t>
  </si>
  <si>
    <t>Suscripción mensual</t>
  </si>
  <si>
    <t>Total</t>
  </si>
  <si>
    <t>Trabajo de los estudiantes</t>
  </si>
  <si>
    <t>Director de trabajo de grado (PhD)</t>
  </si>
  <si>
    <t>Profesora de apoyo (PhD)</t>
  </si>
  <si>
    <t>Horas</t>
  </si>
  <si>
    <t>Costo por hora (USD)</t>
  </si>
  <si>
    <t>Apoyo académico y trazabilidad del proyecto.</t>
  </si>
  <si>
    <t>Tarifa estimada para ingenieros con doctorado.</t>
  </si>
  <si>
    <t>Basado en salario mínimo de Colombia convertido a USD.</t>
  </si>
  <si>
    <t>Costos asociados a la mano de obra del desarrollo de la impresora braille DotUP</t>
  </si>
  <si>
    <t>Costos indirectos dela manufactura de la impresora Braille DotUp</t>
  </si>
  <si>
    <t>Costo (USD)</t>
  </si>
  <si>
    <t>Resumen de costos del desarrollo de la impresora Braille DotUp</t>
  </si>
  <si>
    <t>Anotación</t>
  </si>
  <si>
    <t>Incluye electrónica, mecánica, solenoides, sensores, estructura y elementos de transmisión.</t>
  </si>
  <si>
    <t>Incluye impresión 3D en filamento y resina, corte láser, mecanizado CNC y costos de envío.</t>
  </si>
  <si>
    <t>Horas de diseño, programación, ensamble, calibración y supervisión técnica del proyecto.</t>
  </si>
  <si>
    <t>Costos indirectos dela manufactura de la impresora braille DotUp</t>
  </si>
  <si>
    <t>Costos directos de Materiales de la impresora braille DotUp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</si>
</sst>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164" fontId="1" fillId="4" borderId="5" xfId="0" applyNumberFormat="1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Border="1"/>
    <xf numFmtId="0" fontId="0" fillId="5" borderId="27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2753786-BF20-48BD-A298-B811A4DD75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"/>
  <sheetViews>
    <sheetView topLeftCell="A22" zoomScaleNormal="100" workbookViewId="0">
      <selection activeCell="O13" sqref="O13"/>
    </sheetView>
  </sheetViews>
  <sheetFormatPr baseColWidth="10" defaultColWidth="9.140625" defaultRowHeight="15" x14ac:dyDescent="0.25"/>
  <cols>
    <col min="1" max="1" width="9.140625" style="2"/>
    <col min="2" max="2" width="48.7109375" customWidth="1"/>
    <col min="3" max="3" width="13.28515625" customWidth="1"/>
    <col min="4" max="4" width="15.28515625" customWidth="1"/>
    <col min="5" max="5" width="22.140625" style="1" customWidth="1"/>
    <col min="6" max="6" width="26.85546875" style="1" customWidth="1"/>
    <col min="7" max="33" width="9.140625" style="2"/>
  </cols>
  <sheetData>
    <row r="1" spans="2:6" ht="15.75" thickBot="1" x14ac:dyDescent="0.3"/>
    <row r="2" spans="2:6" s="2" customFormat="1" ht="15.75" thickBot="1" x14ac:dyDescent="0.3">
      <c r="B2" s="8" t="s">
        <v>58</v>
      </c>
      <c r="C2" s="9"/>
      <c r="D2" s="9"/>
      <c r="E2" s="9"/>
      <c r="F2" s="10"/>
    </row>
    <row r="3" spans="2:6" ht="15.75" thickBot="1" x14ac:dyDescent="0.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</row>
    <row r="4" spans="2:6" x14ac:dyDescent="0.25">
      <c r="B4" s="11" t="s">
        <v>5</v>
      </c>
      <c r="C4" s="11" t="s">
        <v>50</v>
      </c>
      <c r="D4" s="11">
        <v>1</v>
      </c>
      <c r="E4" s="12">
        <v>118</v>
      </c>
      <c r="F4" s="12">
        <f>PRODUCT(D4:E4)</f>
        <v>118</v>
      </c>
    </row>
    <row r="5" spans="2:6" x14ac:dyDescent="0.25">
      <c r="B5" s="13" t="s">
        <v>6</v>
      </c>
      <c r="C5" s="13" t="s">
        <v>51</v>
      </c>
      <c r="D5" s="13">
        <v>70</v>
      </c>
      <c r="E5" s="14">
        <v>0.05</v>
      </c>
      <c r="F5" s="14">
        <f>PRODUCT(D5:E5)</f>
        <v>3.5</v>
      </c>
    </row>
    <row r="6" spans="2:6" x14ac:dyDescent="0.25">
      <c r="B6" s="13" t="s">
        <v>7</v>
      </c>
      <c r="C6" s="13" t="s">
        <v>51</v>
      </c>
      <c r="D6" s="13">
        <v>70</v>
      </c>
      <c r="E6" s="14">
        <v>0.23</v>
      </c>
      <c r="F6" s="14">
        <f t="shared" ref="F6:F48" si="0">PRODUCT(D6:E6)</f>
        <v>16.100000000000001</v>
      </c>
    </row>
    <row r="7" spans="2:6" x14ac:dyDescent="0.25">
      <c r="B7" s="13" t="s">
        <v>8</v>
      </c>
      <c r="C7" s="13" t="s">
        <v>51</v>
      </c>
      <c r="D7" s="13">
        <v>3</v>
      </c>
      <c r="E7" s="14">
        <v>0.2</v>
      </c>
      <c r="F7" s="14">
        <f t="shared" si="0"/>
        <v>0.60000000000000009</v>
      </c>
    </row>
    <row r="8" spans="2:6" x14ac:dyDescent="0.25">
      <c r="B8" s="13" t="s">
        <v>9</v>
      </c>
      <c r="C8" s="13" t="s">
        <v>52</v>
      </c>
      <c r="D8" s="13">
        <v>2</v>
      </c>
      <c r="E8" s="14">
        <v>8</v>
      </c>
      <c r="F8" s="14">
        <f t="shared" si="0"/>
        <v>16</v>
      </c>
    </row>
    <row r="9" spans="2:6" x14ac:dyDescent="0.25">
      <c r="B9" s="13" t="s">
        <v>10</v>
      </c>
      <c r="C9" s="13" t="s">
        <v>52</v>
      </c>
      <c r="D9" s="13">
        <v>4.5</v>
      </c>
      <c r="E9" s="14">
        <v>46</v>
      </c>
      <c r="F9" s="14">
        <f t="shared" si="0"/>
        <v>207</v>
      </c>
    </row>
    <row r="10" spans="2:6" x14ac:dyDescent="0.25">
      <c r="B10" s="13" t="s">
        <v>11</v>
      </c>
      <c r="C10" s="13" t="s">
        <v>51</v>
      </c>
      <c r="D10" s="13">
        <v>8</v>
      </c>
      <c r="E10" s="14">
        <v>1.56</v>
      </c>
      <c r="F10" s="14">
        <f t="shared" si="0"/>
        <v>12.48</v>
      </c>
    </row>
    <row r="11" spans="2:6" x14ac:dyDescent="0.25">
      <c r="B11" s="13" t="s">
        <v>12</v>
      </c>
      <c r="C11" s="13" t="s">
        <v>51</v>
      </c>
      <c r="D11" s="13">
        <v>2</v>
      </c>
      <c r="E11" s="14">
        <v>1</v>
      </c>
      <c r="F11" s="14">
        <f t="shared" si="0"/>
        <v>2</v>
      </c>
    </row>
    <row r="12" spans="2:6" x14ac:dyDescent="0.25">
      <c r="B12" s="13" t="s">
        <v>13</v>
      </c>
      <c r="C12" s="13" t="s">
        <v>51</v>
      </c>
      <c r="D12" s="13">
        <v>6</v>
      </c>
      <c r="E12" s="14">
        <v>0.05</v>
      </c>
      <c r="F12" s="14">
        <f t="shared" si="0"/>
        <v>0.30000000000000004</v>
      </c>
    </row>
    <row r="13" spans="2:6" x14ac:dyDescent="0.25">
      <c r="B13" s="13" t="s">
        <v>14</v>
      </c>
      <c r="C13" s="13" t="s">
        <v>51</v>
      </c>
      <c r="D13" s="13">
        <v>110</v>
      </c>
      <c r="E13" s="14">
        <v>0.05</v>
      </c>
      <c r="F13" s="14">
        <f t="shared" si="0"/>
        <v>5.5</v>
      </c>
    </row>
    <row r="14" spans="2:6" x14ac:dyDescent="0.25">
      <c r="B14" s="13" t="s">
        <v>15</v>
      </c>
      <c r="C14" s="13" t="s">
        <v>53</v>
      </c>
      <c r="D14" s="13">
        <v>1</v>
      </c>
      <c r="E14" s="14">
        <v>15</v>
      </c>
      <c r="F14" s="14">
        <f t="shared" si="0"/>
        <v>15</v>
      </c>
    </row>
    <row r="15" spans="2:6" x14ac:dyDescent="0.25">
      <c r="B15" s="13" t="s">
        <v>16</v>
      </c>
      <c r="C15" s="13" t="s">
        <v>53</v>
      </c>
      <c r="D15" s="13">
        <v>1</v>
      </c>
      <c r="E15" s="14">
        <v>10</v>
      </c>
      <c r="F15" s="14">
        <f t="shared" si="0"/>
        <v>10</v>
      </c>
    </row>
    <row r="16" spans="2:6" x14ac:dyDescent="0.25">
      <c r="B16" s="13" t="s">
        <v>17</v>
      </c>
      <c r="C16" s="13" t="s">
        <v>51</v>
      </c>
      <c r="D16" s="13">
        <v>6</v>
      </c>
      <c r="E16" s="14">
        <v>0.5</v>
      </c>
      <c r="F16" s="14">
        <f t="shared" si="0"/>
        <v>3</v>
      </c>
    </row>
    <row r="17" spans="2:6" x14ac:dyDescent="0.25">
      <c r="B17" s="13" t="s">
        <v>18</v>
      </c>
      <c r="C17" s="13" t="s">
        <v>51</v>
      </c>
      <c r="D17" s="13">
        <v>2</v>
      </c>
      <c r="E17" s="14">
        <v>12</v>
      </c>
      <c r="F17" s="14">
        <f t="shared" si="0"/>
        <v>24</v>
      </c>
    </row>
    <row r="18" spans="2:6" x14ac:dyDescent="0.25">
      <c r="B18" s="13" t="s">
        <v>19</v>
      </c>
      <c r="C18" s="13" t="s">
        <v>51</v>
      </c>
      <c r="D18" s="13">
        <v>2</v>
      </c>
      <c r="E18" s="14">
        <v>0.3</v>
      </c>
      <c r="F18" s="14">
        <f t="shared" si="0"/>
        <v>0.6</v>
      </c>
    </row>
    <row r="19" spans="2:6" x14ac:dyDescent="0.25">
      <c r="B19" s="13" t="s">
        <v>20</v>
      </c>
      <c r="C19" s="13" t="s">
        <v>50</v>
      </c>
      <c r="D19" s="13">
        <v>1</v>
      </c>
      <c r="E19" s="14">
        <v>18</v>
      </c>
      <c r="F19" s="14">
        <f t="shared" si="0"/>
        <v>18</v>
      </c>
    </row>
    <row r="20" spans="2:6" x14ac:dyDescent="0.25">
      <c r="B20" s="13" t="s">
        <v>21</v>
      </c>
      <c r="C20" s="13" t="s">
        <v>50</v>
      </c>
      <c r="D20" s="13">
        <v>1</v>
      </c>
      <c r="E20" s="14">
        <v>12</v>
      </c>
      <c r="F20" s="14">
        <f t="shared" si="0"/>
        <v>12</v>
      </c>
    </row>
    <row r="21" spans="2:6" x14ac:dyDescent="0.25">
      <c r="B21" s="13" t="s">
        <v>22</v>
      </c>
      <c r="C21" s="13" t="s">
        <v>50</v>
      </c>
      <c r="D21" s="13">
        <v>1</v>
      </c>
      <c r="E21" s="14">
        <v>6</v>
      </c>
      <c r="F21" s="14">
        <f t="shared" si="0"/>
        <v>6</v>
      </c>
    </row>
    <row r="22" spans="2:6" x14ac:dyDescent="0.25">
      <c r="B22" s="13" t="s">
        <v>23</v>
      </c>
      <c r="C22" s="13" t="s">
        <v>50</v>
      </c>
      <c r="D22" s="13">
        <v>1</v>
      </c>
      <c r="E22" s="14">
        <v>2</v>
      </c>
      <c r="F22" s="14">
        <f t="shared" si="0"/>
        <v>2</v>
      </c>
    </row>
    <row r="23" spans="2:6" x14ac:dyDescent="0.25">
      <c r="B23" s="13" t="s">
        <v>24</v>
      </c>
      <c r="C23" s="13" t="s">
        <v>50</v>
      </c>
      <c r="D23" s="13">
        <v>1</v>
      </c>
      <c r="E23" s="14">
        <v>2</v>
      </c>
      <c r="F23" s="14">
        <f t="shared" si="0"/>
        <v>2</v>
      </c>
    </row>
    <row r="24" spans="2:6" x14ac:dyDescent="0.25">
      <c r="B24" s="13" t="s">
        <v>25</v>
      </c>
      <c r="C24" s="13" t="s">
        <v>50</v>
      </c>
      <c r="D24" s="13">
        <v>1</v>
      </c>
      <c r="E24" s="14">
        <v>1</v>
      </c>
      <c r="F24" s="14">
        <f t="shared" si="0"/>
        <v>1</v>
      </c>
    </row>
    <row r="25" spans="2:6" x14ac:dyDescent="0.25">
      <c r="B25" s="13" t="s">
        <v>26</v>
      </c>
      <c r="C25" s="13" t="s">
        <v>50</v>
      </c>
      <c r="D25" s="13">
        <v>1</v>
      </c>
      <c r="E25" s="14">
        <v>3</v>
      </c>
      <c r="F25" s="14">
        <f t="shared" si="0"/>
        <v>3</v>
      </c>
    </row>
    <row r="26" spans="2:6" x14ac:dyDescent="0.25">
      <c r="B26" s="13" t="s">
        <v>27</v>
      </c>
      <c r="C26" s="13" t="s">
        <v>51</v>
      </c>
      <c r="D26" s="13">
        <v>2</v>
      </c>
      <c r="E26" s="14">
        <v>2</v>
      </c>
      <c r="F26" s="14">
        <f t="shared" si="0"/>
        <v>4</v>
      </c>
    </row>
    <row r="27" spans="2:6" x14ac:dyDescent="0.25">
      <c r="B27" s="13" t="s">
        <v>28</v>
      </c>
      <c r="C27" s="13" t="s">
        <v>51</v>
      </c>
      <c r="D27" s="13">
        <v>9</v>
      </c>
      <c r="E27" s="14">
        <v>3.5</v>
      </c>
      <c r="F27" s="14">
        <f t="shared" si="0"/>
        <v>31.5</v>
      </c>
    </row>
    <row r="28" spans="2:6" x14ac:dyDescent="0.25">
      <c r="B28" s="13" t="s">
        <v>29</v>
      </c>
      <c r="C28" s="13" t="s">
        <v>51</v>
      </c>
      <c r="D28" s="13">
        <v>120</v>
      </c>
      <c r="E28" s="14">
        <v>0.02</v>
      </c>
      <c r="F28" s="14">
        <f t="shared" si="0"/>
        <v>2.4</v>
      </c>
    </row>
    <row r="29" spans="2:6" x14ac:dyDescent="0.25">
      <c r="B29" s="13" t="s">
        <v>30</v>
      </c>
      <c r="C29" s="13" t="s">
        <v>51</v>
      </c>
      <c r="D29" s="13">
        <v>8</v>
      </c>
      <c r="E29" s="14">
        <v>0.1</v>
      </c>
      <c r="F29" s="14">
        <f t="shared" si="0"/>
        <v>0.8</v>
      </c>
    </row>
    <row r="30" spans="2:6" x14ac:dyDescent="0.25">
      <c r="B30" s="13" t="s">
        <v>31</v>
      </c>
      <c r="C30" s="13" t="s">
        <v>51</v>
      </c>
      <c r="D30" s="13">
        <v>2</v>
      </c>
      <c r="E30" s="14">
        <v>2</v>
      </c>
      <c r="F30" s="14">
        <f t="shared" si="0"/>
        <v>4</v>
      </c>
    </row>
    <row r="31" spans="2:6" x14ac:dyDescent="0.25">
      <c r="B31" s="13" t="s">
        <v>32</v>
      </c>
      <c r="C31" s="13" t="s">
        <v>50</v>
      </c>
      <c r="D31" s="13">
        <v>1</v>
      </c>
      <c r="E31" s="14">
        <v>4</v>
      </c>
      <c r="F31" s="14">
        <f t="shared" si="0"/>
        <v>4</v>
      </c>
    </row>
    <row r="32" spans="2:6" x14ac:dyDescent="0.25">
      <c r="B32" s="13" t="s">
        <v>33</v>
      </c>
      <c r="C32" s="13" t="s">
        <v>50</v>
      </c>
      <c r="D32" s="13">
        <v>1</v>
      </c>
      <c r="E32" s="14">
        <v>1.5</v>
      </c>
      <c r="F32" s="14">
        <f t="shared" si="0"/>
        <v>1.5</v>
      </c>
    </row>
    <row r="33" spans="2:6" x14ac:dyDescent="0.25">
      <c r="B33" s="13" t="s">
        <v>34</v>
      </c>
      <c r="C33" s="13" t="s">
        <v>54</v>
      </c>
      <c r="D33" s="13">
        <v>1</v>
      </c>
      <c r="E33" s="14">
        <v>25</v>
      </c>
      <c r="F33" s="14">
        <f t="shared" si="0"/>
        <v>25</v>
      </c>
    </row>
    <row r="34" spans="2:6" x14ac:dyDescent="0.25">
      <c r="B34" s="13" t="s">
        <v>35</v>
      </c>
      <c r="C34" s="13" t="s">
        <v>50</v>
      </c>
      <c r="D34" s="13">
        <v>2</v>
      </c>
      <c r="E34" s="14">
        <v>1.5</v>
      </c>
      <c r="F34" s="14">
        <f t="shared" si="0"/>
        <v>3</v>
      </c>
    </row>
    <row r="35" spans="2:6" x14ac:dyDescent="0.25">
      <c r="B35" s="13" t="s">
        <v>36</v>
      </c>
      <c r="C35" s="13" t="s">
        <v>50</v>
      </c>
      <c r="D35" s="13">
        <v>1</v>
      </c>
      <c r="E35" s="14">
        <v>0.7</v>
      </c>
      <c r="F35" s="14">
        <f t="shared" si="0"/>
        <v>0.7</v>
      </c>
    </row>
    <row r="36" spans="2:6" x14ac:dyDescent="0.25">
      <c r="B36" s="13" t="s">
        <v>37</v>
      </c>
      <c r="C36" s="13" t="s">
        <v>51</v>
      </c>
      <c r="D36" s="13">
        <v>9</v>
      </c>
      <c r="E36" s="14">
        <v>0.6</v>
      </c>
      <c r="F36" s="14">
        <f t="shared" si="0"/>
        <v>5.3999999999999995</v>
      </c>
    </row>
    <row r="37" spans="2:6" x14ac:dyDescent="0.25">
      <c r="B37" s="13" t="s">
        <v>38</v>
      </c>
      <c r="C37" s="13" t="s">
        <v>51</v>
      </c>
      <c r="D37" s="13">
        <v>9</v>
      </c>
      <c r="E37" s="14">
        <v>0.02</v>
      </c>
      <c r="F37" s="14">
        <f t="shared" si="0"/>
        <v>0.18</v>
      </c>
    </row>
    <row r="38" spans="2:6" x14ac:dyDescent="0.25">
      <c r="B38" s="13" t="s">
        <v>39</v>
      </c>
      <c r="C38" s="13" t="s">
        <v>51</v>
      </c>
      <c r="D38" s="13">
        <v>10</v>
      </c>
      <c r="E38" s="14">
        <v>0.1</v>
      </c>
      <c r="F38" s="14">
        <f t="shared" si="0"/>
        <v>1</v>
      </c>
    </row>
    <row r="39" spans="2:6" x14ac:dyDescent="0.25">
      <c r="B39" s="13" t="s">
        <v>40</v>
      </c>
      <c r="C39" s="13" t="s">
        <v>50</v>
      </c>
      <c r="D39" s="13">
        <v>1</v>
      </c>
      <c r="E39" s="14">
        <v>2</v>
      </c>
      <c r="F39" s="14">
        <f t="shared" si="0"/>
        <v>2</v>
      </c>
    </row>
    <row r="40" spans="2:6" x14ac:dyDescent="0.25">
      <c r="B40" s="13" t="s">
        <v>41</v>
      </c>
      <c r="C40" s="13" t="s">
        <v>50</v>
      </c>
      <c r="D40" s="13">
        <v>1</v>
      </c>
      <c r="E40" s="14">
        <v>1</v>
      </c>
      <c r="F40" s="14">
        <f t="shared" si="0"/>
        <v>1</v>
      </c>
    </row>
    <row r="41" spans="2:6" x14ac:dyDescent="0.25">
      <c r="B41" s="13" t="s">
        <v>42</v>
      </c>
      <c r="C41" s="13" t="s">
        <v>55</v>
      </c>
      <c r="D41" s="13">
        <v>2</v>
      </c>
      <c r="E41" s="14">
        <v>0.5</v>
      </c>
      <c r="F41" s="14">
        <f t="shared" si="0"/>
        <v>1</v>
      </c>
    </row>
    <row r="42" spans="2:6" x14ac:dyDescent="0.25">
      <c r="B42" s="13" t="s">
        <v>43</v>
      </c>
      <c r="C42" s="13" t="s">
        <v>51</v>
      </c>
      <c r="D42" s="13">
        <v>13</v>
      </c>
      <c r="E42" s="14">
        <v>0.01</v>
      </c>
      <c r="F42" s="14">
        <f t="shared" si="0"/>
        <v>0.13</v>
      </c>
    </row>
    <row r="43" spans="2:6" x14ac:dyDescent="0.25">
      <c r="B43" s="13" t="s">
        <v>44</v>
      </c>
      <c r="C43" s="13" t="s">
        <v>56</v>
      </c>
      <c r="D43" s="13">
        <v>1</v>
      </c>
      <c r="E43" s="14">
        <v>15.2</v>
      </c>
      <c r="F43" s="14">
        <f t="shared" si="0"/>
        <v>15.2</v>
      </c>
    </row>
    <row r="44" spans="2:6" x14ac:dyDescent="0.25">
      <c r="B44" s="13" t="s">
        <v>45</v>
      </c>
      <c r="C44" s="13" t="s">
        <v>52</v>
      </c>
      <c r="D44" s="13">
        <v>7</v>
      </c>
      <c r="E44" s="14">
        <v>1</v>
      </c>
      <c r="F44" s="14">
        <f t="shared" si="0"/>
        <v>7</v>
      </c>
    </row>
    <row r="45" spans="2:6" x14ac:dyDescent="0.25">
      <c r="B45" s="13" t="s">
        <v>46</v>
      </c>
      <c r="C45" s="13" t="s">
        <v>51</v>
      </c>
      <c r="D45" s="13">
        <v>12</v>
      </c>
      <c r="E45" s="14">
        <v>0.05</v>
      </c>
      <c r="F45" s="14">
        <f t="shared" si="0"/>
        <v>0.60000000000000009</v>
      </c>
    </row>
    <row r="46" spans="2:6" x14ac:dyDescent="0.25">
      <c r="B46" s="13" t="s">
        <v>47</v>
      </c>
      <c r="C46" s="13" t="s">
        <v>51</v>
      </c>
      <c r="D46" s="13">
        <v>2</v>
      </c>
      <c r="E46" s="14">
        <v>0.5</v>
      </c>
      <c r="F46" s="14">
        <f t="shared" si="0"/>
        <v>1</v>
      </c>
    </row>
    <row r="47" spans="2:6" x14ac:dyDescent="0.25">
      <c r="B47" s="13" t="s">
        <v>48</v>
      </c>
      <c r="C47" s="13" t="s">
        <v>52</v>
      </c>
      <c r="D47" s="13">
        <v>1</v>
      </c>
      <c r="E47" s="14">
        <v>0.8</v>
      </c>
      <c r="F47" s="14">
        <f t="shared" si="0"/>
        <v>0.8</v>
      </c>
    </row>
    <row r="48" spans="2:6" ht="15.75" thickBot="1" x14ac:dyDescent="0.3">
      <c r="B48" s="15" t="s">
        <v>49</v>
      </c>
      <c r="C48" s="15" t="s">
        <v>51</v>
      </c>
      <c r="D48" s="15">
        <v>6</v>
      </c>
      <c r="E48" s="16">
        <v>0.1</v>
      </c>
      <c r="F48" s="16">
        <f t="shared" si="0"/>
        <v>0.60000000000000009</v>
      </c>
    </row>
    <row r="49" spans="2:6" ht="15.75" thickBot="1" x14ac:dyDescent="0.3">
      <c r="B49" s="2"/>
      <c r="C49" s="2"/>
      <c r="D49" s="2"/>
      <c r="E49" s="3"/>
      <c r="F49" s="3"/>
    </row>
    <row r="50" spans="2:6" ht="15.75" thickBot="1" x14ac:dyDescent="0.3">
      <c r="B50" s="2"/>
      <c r="C50" s="2"/>
      <c r="D50" s="4" t="s">
        <v>57</v>
      </c>
      <c r="E50" s="6">
        <f>SUM(F4:F48)</f>
        <v>590.89</v>
      </c>
      <c r="F50" s="7"/>
    </row>
    <row r="51" spans="2:6" x14ac:dyDescent="0.25">
      <c r="B51" s="2"/>
      <c r="C51" s="2"/>
      <c r="D51" s="2"/>
      <c r="E51" s="3"/>
      <c r="F51" s="3"/>
    </row>
    <row r="52" spans="2:6" x14ac:dyDescent="0.25">
      <c r="B52" s="2"/>
      <c r="C52" s="2"/>
      <c r="D52" s="2"/>
      <c r="E52" s="3"/>
      <c r="F52" s="3"/>
    </row>
    <row r="53" spans="2:6" x14ac:dyDescent="0.25">
      <c r="B53" s="2"/>
      <c r="C53" s="2"/>
      <c r="D53" s="2"/>
      <c r="E53" s="3"/>
      <c r="F53" s="3"/>
    </row>
    <row r="54" spans="2:6" x14ac:dyDescent="0.25">
      <c r="B54" s="2"/>
      <c r="C54" s="2"/>
      <c r="D54" s="2"/>
      <c r="E54" s="3"/>
      <c r="F54" s="3"/>
    </row>
    <row r="55" spans="2:6" x14ac:dyDescent="0.25">
      <c r="B55" s="2"/>
      <c r="C55" s="2"/>
      <c r="D55" s="2"/>
      <c r="E55" s="3"/>
      <c r="F55" s="3"/>
    </row>
    <row r="56" spans="2:6" x14ac:dyDescent="0.25">
      <c r="B56" s="2"/>
      <c r="C56" s="2"/>
    </row>
  </sheetData>
  <mergeCells count="2">
    <mergeCell ref="E50:F50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21B1-8CD9-4672-B8CE-E6CDFACB44E4}">
  <dimension ref="A1:W28"/>
  <sheetViews>
    <sheetView workbookViewId="0">
      <selection activeCell="B28" sqref="B28"/>
    </sheetView>
  </sheetViews>
  <sheetFormatPr baseColWidth="10" defaultRowHeight="15" x14ac:dyDescent="0.25"/>
  <cols>
    <col min="1" max="1" width="11.42578125" style="2"/>
    <col min="2" max="2" width="17.7109375" customWidth="1"/>
    <col min="3" max="3" width="16.5703125" bestFit="1" customWidth="1"/>
    <col min="4" max="4" width="13.42578125" bestFit="1" customWidth="1"/>
    <col min="5" max="5" width="10.85546875" bestFit="1" customWidth="1"/>
    <col min="6" max="6" width="35.28515625" bestFit="1" customWidth="1"/>
  </cols>
  <sheetData>
    <row r="1" spans="1:23" s="2" customFormat="1" ht="15.75" thickBot="1" x14ac:dyDescent="0.3"/>
    <row r="2" spans="1:23" ht="22.5" customHeight="1" thickBot="1" x14ac:dyDescent="0.3">
      <c r="B2" s="39" t="s">
        <v>93</v>
      </c>
      <c r="C2" s="40"/>
      <c r="D2" s="40"/>
      <c r="E2" s="40"/>
      <c r="F2" s="4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17" customFormat="1" ht="33.75" customHeight="1" thickBot="1" x14ac:dyDescent="0.3">
      <c r="A3" s="55"/>
      <c r="B3" s="32" t="s">
        <v>59</v>
      </c>
      <c r="C3" s="33" t="s">
        <v>60</v>
      </c>
      <c r="D3" s="34" t="s">
        <v>61</v>
      </c>
      <c r="E3" s="34" t="s">
        <v>62</v>
      </c>
      <c r="F3" s="35" t="s">
        <v>63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ht="30" x14ac:dyDescent="0.25">
      <c r="B4" s="52" t="s">
        <v>64</v>
      </c>
      <c r="C4" s="28" t="s">
        <v>71</v>
      </c>
      <c r="D4" s="26">
        <v>2.5</v>
      </c>
      <c r="E4" s="20">
        <v>67.5</v>
      </c>
      <c r="F4" s="27" t="s">
        <v>78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0" x14ac:dyDescent="0.25">
      <c r="B5" s="53" t="s">
        <v>65</v>
      </c>
      <c r="C5" s="29" t="s">
        <v>72</v>
      </c>
      <c r="D5" s="18">
        <v>4</v>
      </c>
      <c r="E5" s="19">
        <v>8</v>
      </c>
      <c r="F5" s="21" t="s">
        <v>78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6.25" customHeight="1" x14ac:dyDescent="0.25">
      <c r="B6" s="53" t="s">
        <v>66</v>
      </c>
      <c r="C6" s="29" t="s">
        <v>73</v>
      </c>
      <c r="D6" s="18" t="s">
        <v>75</v>
      </c>
      <c r="E6" s="19">
        <v>37.5</v>
      </c>
      <c r="F6" s="22" t="s">
        <v>79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5.5" customHeight="1" x14ac:dyDescent="0.25">
      <c r="B7" s="53" t="s">
        <v>67</v>
      </c>
      <c r="C7" s="29" t="s">
        <v>74</v>
      </c>
      <c r="D7" s="18" t="s">
        <v>75</v>
      </c>
      <c r="E7" s="19">
        <v>12.5</v>
      </c>
      <c r="F7" s="22" t="s">
        <v>79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0" x14ac:dyDescent="0.25">
      <c r="B8" s="53" t="s">
        <v>68</v>
      </c>
      <c r="C8" s="29" t="s">
        <v>75</v>
      </c>
      <c r="D8" s="18" t="s">
        <v>75</v>
      </c>
      <c r="E8" s="19">
        <v>60</v>
      </c>
      <c r="F8" s="22" t="s">
        <v>80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30" x14ac:dyDescent="0.25">
      <c r="B9" s="53" t="s">
        <v>69</v>
      </c>
      <c r="C9" s="29" t="s">
        <v>76</v>
      </c>
      <c r="D9" s="18" t="s">
        <v>75</v>
      </c>
      <c r="E9" s="19">
        <v>0</v>
      </c>
      <c r="F9" s="22" t="s">
        <v>81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8.5" customHeight="1" thickBot="1" x14ac:dyDescent="0.3">
      <c r="B10" s="54" t="s">
        <v>70</v>
      </c>
      <c r="C10" s="30" t="s">
        <v>77</v>
      </c>
      <c r="D10" s="23" t="s">
        <v>75</v>
      </c>
      <c r="E10" s="24">
        <v>15</v>
      </c>
      <c r="F10" s="25" t="s">
        <v>82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thickBot="1" x14ac:dyDescent="0.3">
      <c r="B11" s="36" t="s">
        <v>83</v>
      </c>
      <c r="C11" s="37"/>
      <c r="D11" s="38"/>
      <c r="E11" s="31">
        <f>SUM(E4:E10)</f>
        <v>200.5</v>
      </c>
      <c r="F11" s="5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s="2" customFormat="1" x14ac:dyDescent="0.25"/>
    <row r="13" spans="1:23" s="2" customFormat="1" x14ac:dyDescent="0.25"/>
    <row r="14" spans="1:23" s="2" customFormat="1" x14ac:dyDescent="0.25"/>
    <row r="15" spans="1:23" s="2" customFormat="1" x14ac:dyDescent="0.25"/>
    <row r="16" spans="1:23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</sheetData>
  <mergeCells count="2">
    <mergeCell ref="B11:D1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0034-0546-4270-BBB6-664E9C6405B0}">
  <dimension ref="A1:S31"/>
  <sheetViews>
    <sheetView workbookViewId="0">
      <selection activeCell="F15" sqref="F15"/>
    </sheetView>
  </sheetViews>
  <sheetFormatPr baseColWidth="10" defaultRowHeight="15" x14ac:dyDescent="0.25"/>
  <cols>
    <col min="1" max="1" width="11.42578125" style="2"/>
    <col min="2" max="2" width="24.85546875" customWidth="1"/>
    <col min="3" max="3" width="17.42578125" customWidth="1"/>
    <col min="4" max="4" width="16" customWidth="1"/>
    <col min="5" max="5" width="14.42578125" customWidth="1"/>
    <col min="6" max="6" width="29.85546875" customWidth="1"/>
    <col min="7" max="19" width="11.42578125" style="2"/>
  </cols>
  <sheetData>
    <row r="1" spans="2:6" s="2" customFormat="1" ht="15.75" thickBot="1" x14ac:dyDescent="0.3"/>
    <row r="2" spans="2:6" ht="22.5" customHeight="1" thickBot="1" x14ac:dyDescent="0.3">
      <c r="B2" s="39" t="s">
        <v>92</v>
      </c>
      <c r="C2" s="40"/>
      <c r="D2" s="40"/>
      <c r="E2" s="40"/>
      <c r="F2" s="41"/>
    </row>
    <row r="3" spans="2:6" ht="30.75" thickBot="1" x14ac:dyDescent="0.3">
      <c r="B3" s="32" t="s">
        <v>59</v>
      </c>
      <c r="C3" s="33" t="s">
        <v>87</v>
      </c>
      <c r="D3" s="34" t="s">
        <v>88</v>
      </c>
      <c r="E3" s="34" t="s">
        <v>62</v>
      </c>
      <c r="F3" s="35" t="s">
        <v>63</v>
      </c>
    </row>
    <row r="4" spans="2:6" ht="28.5" customHeight="1" x14ac:dyDescent="0.25">
      <c r="B4" s="52" t="s">
        <v>84</v>
      </c>
      <c r="C4" s="28">
        <v>242</v>
      </c>
      <c r="D4" s="20">
        <v>1.23</v>
      </c>
      <c r="E4" s="20">
        <f>PRODUCT(C4:D4)</f>
        <v>297.65999999999997</v>
      </c>
      <c r="F4" s="27" t="s">
        <v>91</v>
      </c>
    </row>
    <row r="5" spans="2:6" ht="30" x14ac:dyDescent="0.25">
      <c r="B5" s="53" t="s">
        <v>85</v>
      </c>
      <c r="C5" s="29">
        <v>16</v>
      </c>
      <c r="D5" s="19">
        <v>35</v>
      </c>
      <c r="E5" s="19">
        <f t="shared" ref="E5:E6" si="0">PRODUCT(C5:D5)</f>
        <v>560</v>
      </c>
      <c r="F5" s="21" t="s">
        <v>90</v>
      </c>
    </row>
    <row r="6" spans="2:6" ht="31.5" customHeight="1" thickBot="1" x14ac:dyDescent="0.3">
      <c r="B6" s="54" t="s">
        <v>86</v>
      </c>
      <c r="C6" s="30">
        <v>4</v>
      </c>
      <c r="D6" s="24">
        <v>35</v>
      </c>
      <c r="E6" s="24">
        <f t="shared" si="0"/>
        <v>140</v>
      </c>
      <c r="F6" s="45" t="s">
        <v>89</v>
      </c>
    </row>
    <row r="7" spans="2:6" ht="15.75" thickBot="1" x14ac:dyDescent="0.3">
      <c r="B7" s="47" t="s">
        <v>83</v>
      </c>
      <c r="C7" s="48"/>
      <c r="D7" s="49"/>
      <c r="E7" s="46">
        <f>SUM(E4:E6)</f>
        <v>997.66</v>
      </c>
    </row>
    <row r="8" spans="2:6" s="2" customFormat="1" x14ac:dyDescent="0.25"/>
    <row r="9" spans="2:6" s="2" customFormat="1" x14ac:dyDescent="0.25"/>
    <row r="10" spans="2:6" s="2" customFormat="1" x14ac:dyDescent="0.25"/>
    <row r="11" spans="2:6" s="2" customFormat="1" x14ac:dyDescent="0.25"/>
    <row r="12" spans="2:6" s="2" customFormat="1" x14ac:dyDescent="0.25"/>
    <row r="13" spans="2:6" s="2" customFormat="1" x14ac:dyDescent="0.25"/>
    <row r="14" spans="2:6" s="2" customFormat="1" x14ac:dyDescent="0.25"/>
    <row r="15" spans="2:6" s="2" customFormat="1" x14ac:dyDescent="0.25"/>
    <row r="16" spans="2:6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</sheetData>
  <mergeCells count="2">
    <mergeCell ref="B7:D7"/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E7C9-AACA-4707-B9C1-10992DD968F2}">
  <dimension ref="A1:Y35"/>
  <sheetViews>
    <sheetView tabSelected="1" workbookViewId="0">
      <selection activeCell="C12" sqref="C12"/>
    </sheetView>
  </sheetViews>
  <sheetFormatPr baseColWidth="10" defaultRowHeight="15" x14ac:dyDescent="0.25"/>
  <cols>
    <col min="1" max="1" width="11.42578125" style="2"/>
    <col min="2" max="2" width="46.85546875" customWidth="1"/>
    <col min="3" max="3" width="14.28515625" customWidth="1"/>
    <col min="4" max="4" width="35.28515625" style="2" customWidth="1"/>
    <col min="5" max="25" width="11.42578125" style="2"/>
  </cols>
  <sheetData>
    <row r="1" spans="2:4" s="2" customFormat="1" ht="15.75" thickBot="1" x14ac:dyDescent="0.3"/>
    <row r="2" spans="2:4" ht="20.25" customHeight="1" thickBot="1" x14ac:dyDescent="0.3">
      <c r="B2" s="50" t="s">
        <v>95</v>
      </c>
      <c r="C2" s="60"/>
      <c r="D2" s="51"/>
    </row>
    <row r="3" spans="2:4" ht="23.25" customHeight="1" thickBot="1" x14ac:dyDescent="0.3">
      <c r="B3" s="42" t="s">
        <v>59</v>
      </c>
      <c r="C3" s="42" t="s">
        <v>94</v>
      </c>
      <c r="D3" s="42" t="s">
        <v>96</v>
      </c>
    </row>
    <row r="4" spans="2:4" ht="45" x14ac:dyDescent="0.25">
      <c r="B4" s="59" t="s">
        <v>101</v>
      </c>
      <c r="C4" s="62">
        <v>590.89</v>
      </c>
      <c r="D4" s="61" t="s">
        <v>97</v>
      </c>
    </row>
    <row r="5" spans="2:4" ht="45" x14ac:dyDescent="0.25">
      <c r="B5" s="43" t="s">
        <v>100</v>
      </c>
      <c r="C5" s="18">
        <v>200.5</v>
      </c>
      <c r="D5" s="21" t="s">
        <v>98</v>
      </c>
    </row>
    <row r="6" spans="2:4" ht="45.75" thickBot="1" x14ac:dyDescent="0.3">
      <c r="B6" s="44" t="s">
        <v>92</v>
      </c>
      <c r="C6" s="23">
        <v>997.66</v>
      </c>
      <c r="D6" s="63" t="s">
        <v>99</v>
      </c>
    </row>
    <row r="7" spans="2:4" ht="15.75" thickBot="1" x14ac:dyDescent="0.3">
      <c r="B7" s="57" t="s">
        <v>83</v>
      </c>
      <c r="C7" s="58">
        <f>SUM(C4:C6)</f>
        <v>1789.05</v>
      </c>
    </row>
    <row r="8" spans="2:4" s="2" customFormat="1" x14ac:dyDescent="0.25"/>
    <row r="9" spans="2:4" s="2" customFormat="1" x14ac:dyDescent="0.25"/>
    <row r="10" spans="2:4" s="2" customFormat="1" x14ac:dyDescent="0.25"/>
    <row r="11" spans="2:4" s="2" customFormat="1" x14ac:dyDescent="0.25"/>
    <row r="12" spans="2:4" s="2" customFormat="1" x14ac:dyDescent="0.25"/>
    <row r="13" spans="2:4" s="2" customFormat="1" x14ac:dyDescent="0.25"/>
    <row r="14" spans="2:4" s="2" customFormat="1" x14ac:dyDescent="0.25"/>
    <row r="15" spans="2:4" s="2" customFormat="1" x14ac:dyDescent="0.25"/>
    <row r="16" spans="2:4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APU materiales</vt:lpstr>
      <vt:lpstr>Costos indirectos</vt:lpstr>
      <vt:lpstr>Mano de obra (Desarrollo)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MechCode</dc:creator>
  <cp:lastModifiedBy>Jorge Daniel Rey Ríos</cp:lastModifiedBy>
  <dcterms:created xsi:type="dcterms:W3CDTF">2025-11-06T00:31:14Z</dcterms:created>
  <dcterms:modified xsi:type="dcterms:W3CDTF">2025-11-15T18:11:04Z</dcterms:modified>
</cp:coreProperties>
</file>